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مجلد جديد\"/>
    </mc:Choice>
  </mc:AlternateContent>
  <xr:revisionPtr revIDLastSave="0" documentId="13_ncr:1_{0BB5FC03-6BEB-422D-88B6-28BA038F541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الغلاف" sheetId="1" r:id="rId1"/>
    <sheet name="حاسبة VAT" sheetId="2" r:id="rId2"/>
    <sheet name="سجل الفواتير" sheetId="3" r:id="rId3"/>
    <sheet name="الإقرار الضريبي الربعي" sheetId="4" r:id="rId4"/>
    <sheet name="زكاة الشركات والأعمال" sheetId="5" r:id="rId5"/>
    <sheet name="مواعيد الامتثال الضريبي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5" l="1"/>
  <c r="B21" i="5"/>
  <c r="B23" i="5" s="1"/>
  <c r="E17" i="4"/>
  <c r="E16" i="4"/>
  <c r="E18" i="4" s="1"/>
  <c r="D16" i="4"/>
  <c r="C16" i="4"/>
  <c r="B16" i="4"/>
  <c r="E13" i="4"/>
  <c r="D13" i="4"/>
  <c r="C13" i="4"/>
  <c r="B13" i="4"/>
  <c r="E12" i="4"/>
  <c r="E11" i="4"/>
  <c r="E10" i="4"/>
  <c r="E26" i="3"/>
  <c r="G25" i="3"/>
  <c r="F25" i="3"/>
  <c r="G24" i="3"/>
  <c r="F24" i="3"/>
  <c r="F23" i="3"/>
  <c r="G23" i="3" s="1"/>
  <c r="F22" i="3"/>
  <c r="G22" i="3" s="1"/>
  <c r="G21" i="3"/>
  <c r="F21" i="3"/>
  <c r="G20" i="3"/>
  <c r="F20" i="3"/>
  <c r="F19" i="3"/>
  <c r="G19" i="3" s="1"/>
  <c r="F18" i="3"/>
  <c r="F26" i="3" s="1"/>
  <c r="E14" i="3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F14" i="3" s="1"/>
  <c r="F31" i="2"/>
  <c r="E31" i="2"/>
  <c r="C31" i="2"/>
  <c r="B31" i="2"/>
  <c r="F30" i="2"/>
  <c r="E30" i="2"/>
  <c r="C30" i="2"/>
  <c r="B30" i="2"/>
  <c r="F29" i="2"/>
  <c r="E29" i="2"/>
  <c r="C29" i="2"/>
  <c r="B29" i="2"/>
  <c r="F28" i="2"/>
  <c r="E28" i="2"/>
  <c r="C28" i="2"/>
  <c r="B28" i="2"/>
  <c r="F27" i="2"/>
  <c r="E27" i="2"/>
  <c r="C27" i="2"/>
  <c r="B27" i="2"/>
  <c r="F26" i="2"/>
  <c r="E26" i="2"/>
  <c r="C26" i="2"/>
  <c r="B26" i="2"/>
  <c r="F25" i="2"/>
  <c r="E25" i="2"/>
  <c r="C25" i="2"/>
  <c r="B25" i="2"/>
  <c r="F24" i="2"/>
  <c r="E24" i="2"/>
  <c r="C24" i="2"/>
  <c r="B24" i="2"/>
  <c r="F23" i="2"/>
  <c r="E23" i="2"/>
  <c r="C23" i="2"/>
  <c r="B23" i="2"/>
  <c r="B19" i="2"/>
  <c r="C19" i="2" s="1"/>
  <c r="B18" i="2"/>
  <c r="C18" i="2" s="1"/>
  <c r="B17" i="2"/>
  <c r="C17" i="2" s="1"/>
  <c r="B16" i="2"/>
  <c r="C16" i="2" s="1"/>
  <c r="B15" i="2"/>
  <c r="C15" i="2" s="1"/>
  <c r="B11" i="2"/>
  <c r="C11" i="2" s="1"/>
  <c r="B10" i="2"/>
  <c r="C10" i="2" s="1"/>
  <c r="B9" i="2"/>
  <c r="C9" i="2" s="1"/>
  <c r="B8" i="2"/>
  <c r="C8" i="2" s="1"/>
  <c r="B7" i="2"/>
  <c r="C7" i="2" s="1"/>
  <c r="B25" i="5" l="1"/>
  <c r="G18" i="3"/>
  <c r="G26" i="3" s="1"/>
  <c r="G6" i="3"/>
  <c r="G14" i="3" s="1"/>
</calcChain>
</file>

<file path=xl/sharedStrings.xml><?xml version="1.0" encoding="utf-8"?>
<sst xmlns="http://schemas.openxmlformats.org/spreadsheetml/2006/main" count="279" uniqueCount="198">
  <si>
    <t>أدوات التخطيط الضريبي وضريبة القيمة المضافة VAT</t>
  </si>
  <si>
    <t>احسب ضريبتك بدقة · سجّل فواتيرك · تجنب الغرامات · خطط ضريبياً</t>
  </si>
  <si>
    <t>🧾 حاسبة VAT</t>
  </si>
  <si>
    <t>📋 سجل الفواتير</t>
  </si>
  <si>
    <t>📊 الإقرار الضريبي</t>
  </si>
  <si>
    <t>إضافة وخصم ضريبة 15%</t>
  </si>
  <si>
    <t>تتبع المبيعات والمشتريات</t>
  </si>
  <si>
    <t>استعداد للتقديم الربعي</t>
  </si>
  <si>
    <t>💰 تخطيط الزكاة</t>
  </si>
  <si>
    <t>⚠️ الامتثال الضريبي</t>
  </si>
  <si>
    <t>📈 تحليل العبء الضريبي</t>
  </si>
  <si>
    <t>زكاة الشركات والأعمال</t>
  </si>
  <si>
    <t>مواعيد وغرامات ZATCA</t>
  </si>
  <si>
    <t>تأثير الضريبة على ربحيتك</t>
  </si>
  <si>
    <t>حاسبة ضريبة القيمة المضافة (VAT) – نسبة 15%</t>
  </si>
  <si>
    <t>نسبة الضريبة المعمول بها %</t>
  </si>
  <si>
    <t>إضافة الضريبة (السعر قبل الضريبة → بعدها)</t>
  </si>
  <si>
    <t>المبلغ قبل الضريبة (ريال)</t>
  </si>
  <si>
    <t>مبلغ الضريبة (ريال)</t>
  </si>
  <si>
    <t>المبلغ الإجمالي شامل الضريبة (ريال)</t>
  </si>
  <si>
    <t>خصم الضريبة (المبلغ شامل الضريبة → قبلها)</t>
  </si>
  <si>
    <t>المبلغ شامل الضريبة (ريال)</t>
  </si>
  <si>
    <t>مبلغ الضريبة المضمّن (ريال)</t>
  </si>
  <si>
    <t>جدول مرجعي سريع للمبالغ الشائعة</t>
  </si>
  <si>
    <t>المبلغ قبل الضريبة</t>
  </si>
  <si>
    <t>الضريبة 15%</t>
  </si>
  <si>
    <t>الإجمالي</t>
  </si>
  <si>
    <t>المبلغ شامل الضريبة</t>
  </si>
  <si>
    <t>ضريبة مضمنة</t>
  </si>
  <si>
    <t>قبل الضريبة</t>
  </si>
  <si>
    <t>100</t>
  </si>
  <si>
    <t>114</t>
  </si>
  <si>
    <t>500</t>
  </si>
  <si>
    <t>575</t>
  </si>
  <si>
    <t>1,000</t>
  </si>
  <si>
    <t>1,150</t>
  </si>
  <si>
    <t>2,500</t>
  </si>
  <si>
    <t>2,875</t>
  </si>
  <si>
    <t>5,000</t>
  </si>
  <si>
    <t>5,750</t>
  </si>
  <si>
    <t>10,000</t>
  </si>
  <si>
    <t>11,500</t>
  </si>
  <si>
    <t>25,000</t>
  </si>
  <si>
    <t>28,749</t>
  </si>
  <si>
    <t>50,000</t>
  </si>
  <si>
    <t>57,499</t>
  </si>
  <si>
    <t>100,000</t>
  </si>
  <si>
    <t>114,999</t>
  </si>
  <si>
    <t>🔑 دليل الألوان:</t>
  </si>
  <si>
    <t xml:space="preserve">  خلايا الإدخال – أدخل بياناتك</t>
  </si>
  <si>
    <t xml:space="preserve">  خلايا محسوبة – لا تعدّل</t>
  </si>
  <si>
    <t xml:space="preserve">  نتائج رئيسية</t>
  </si>
  <si>
    <t xml:space="preserve">  تحذير / سلبي</t>
  </si>
  <si>
    <t>سجل الفواتير الضريبية الشهري</t>
  </si>
  <si>
    <t>الشهر</t>
  </si>
  <si>
    <t>يناير</t>
  </si>
  <si>
    <t>السنة</t>
  </si>
  <si>
    <t>أولاً: فواتير المبيعات (الضريبة المحصّلة)</t>
  </si>
  <si>
    <t>رقم الفاتورة</t>
  </si>
  <si>
    <t>التاريخ</t>
  </si>
  <si>
    <t>اسم العميل</t>
  </si>
  <si>
    <t>رقم السجل الضريبي</t>
  </si>
  <si>
    <t>الضريبة 15% (ريال)</t>
  </si>
  <si>
    <t>الإجمالي (ريال)</t>
  </si>
  <si>
    <t>نوع الفاتورة</t>
  </si>
  <si>
    <t>ملاحظات</t>
  </si>
  <si>
    <t>INV-1001</t>
  </si>
  <si>
    <t>ضريبية</t>
  </si>
  <si>
    <t>INV-1002</t>
  </si>
  <si>
    <t>INV-1003</t>
  </si>
  <si>
    <t>INV-1004</t>
  </si>
  <si>
    <t>INV-1005</t>
  </si>
  <si>
    <t>INV-1006</t>
  </si>
  <si>
    <t>INV-1007</t>
  </si>
  <si>
    <t>INV-1008</t>
  </si>
  <si>
    <t>إجمالي المبيعات</t>
  </si>
  <si>
    <t>ثانياً: فواتير المشتريات (الضريبة القابلة للاسترداد)</t>
  </si>
  <si>
    <t>اسم المورد</t>
  </si>
  <si>
    <t>الضريبة المدفوعة (ريال)</t>
  </si>
  <si>
    <t>قابل للخصم؟</t>
  </si>
  <si>
    <t>PUR-2001</t>
  </si>
  <si>
    <t>نعم</t>
  </si>
  <si>
    <t>PUR-2002</t>
  </si>
  <si>
    <t>PUR-2003</t>
  </si>
  <si>
    <t>PUR-2004</t>
  </si>
  <si>
    <t>PUR-2005</t>
  </si>
  <si>
    <t>PUR-2006</t>
  </si>
  <si>
    <t>PUR-2007</t>
  </si>
  <si>
    <t>PUR-2008</t>
  </si>
  <si>
    <t>إجمالي المشتريات</t>
  </si>
  <si>
    <t>نموذج الإقرار الضريبي الربعي (VAT Return)</t>
  </si>
  <si>
    <t>يُقدَّم كل 3 أشهر لهيئة الزكاة والضريبة والجمارك (ZATCA)</t>
  </si>
  <si>
    <t>الفترة الضريبية</t>
  </si>
  <si>
    <t>الربع الأول 2025</t>
  </si>
  <si>
    <t>رقم التسجيل الضريبي</t>
  </si>
  <si>
    <t>اسم المنشأة</t>
  </si>
  <si>
    <t>المبيعات الخاضعة للضريبة</t>
  </si>
  <si>
    <t>البيان</t>
  </si>
  <si>
    <t>الشهر الأول</t>
  </si>
  <si>
    <t>الشهر الثاني</t>
  </si>
  <si>
    <t>الشهر الثالث</t>
  </si>
  <si>
    <t>إجمالي الربع</t>
  </si>
  <si>
    <t>مبيعات خاضعة 15%</t>
  </si>
  <si>
    <t>مبيعات معفاة من الضريبة</t>
  </si>
  <si>
    <t>مبيعات صفرية النسبة</t>
  </si>
  <si>
    <t>الضريبة المحصّلة والمستردة</t>
  </si>
  <si>
    <t>ضريبة المبيعات المحصّلة (15%)</t>
  </si>
  <si>
    <t>ضريبة المشتريات القابلة للاسترداد</t>
  </si>
  <si>
    <t>⭐ صافي الضريبة المستحقة للسداد (ريال)</t>
  </si>
  <si>
    <t>مواعيد التقديم والسداد</t>
  </si>
  <si>
    <t>الفترة</t>
  </si>
  <si>
    <t>آخر موعد</t>
  </si>
  <si>
    <t>الغرامة</t>
  </si>
  <si>
    <t>الربع الأول (يناير-مارس)</t>
  </si>
  <si>
    <t>30 أبريل</t>
  </si>
  <si>
    <t>غرامة 5-25% عند التأخر</t>
  </si>
  <si>
    <t>الربع الثاني (أبريل-يونيو)</t>
  </si>
  <si>
    <t>31 يوليو</t>
  </si>
  <si>
    <t>الربع الثالث (يوليو-سبتمبر)</t>
  </si>
  <si>
    <t>31 أكتوبر</t>
  </si>
  <si>
    <t>الربع الرابع (أكتوبر-ديسمبر)</t>
  </si>
  <si>
    <t>31 يناير</t>
  </si>
  <si>
    <t>حاسبة زكاة الشركات والأعمال التجارية</t>
  </si>
  <si>
    <t>وفق معايير هيئة الزكاة والضريبة والجمارك السعودية (ZATCA)</t>
  </si>
  <si>
    <t>وعاء الزكاة – الأصول الزكوية</t>
  </si>
  <si>
    <t>البند</t>
  </si>
  <si>
    <t>القيمة (ريال)</t>
  </si>
  <si>
    <t>زكوي؟</t>
  </si>
  <si>
    <t>الملاحظات</t>
  </si>
  <si>
    <t>النقدية وشبه النقدية</t>
  </si>
  <si>
    <t>بنوك + صندوق المنشأة</t>
  </si>
  <si>
    <t>الذمم المدينة (مستحقات العملاء)</t>
  </si>
  <si>
    <t>المبالغ المتوقع تحصيلها</t>
  </si>
  <si>
    <t>المخزون السلعي</t>
  </si>
  <si>
    <t>بسعر التكلفة</t>
  </si>
  <si>
    <t>الاستثمارات قصيرة الأجل</t>
  </si>
  <si>
    <t>الأصول الثابتة (مباني/معدات)</t>
  </si>
  <si>
    <t>لا</t>
  </si>
  <si>
    <t>لا تُزكى الأصول الثابتة</t>
  </si>
  <si>
    <t>المصاريف المدفوعة مقدماً</t>
  </si>
  <si>
    <t>الخصوم المعتمدة للخصم</t>
  </si>
  <si>
    <t>الخصم</t>
  </si>
  <si>
    <t>القروض قصيرة الأجل</t>
  </si>
  <si>
    <t>الذمم الدائنة (مستحقات الموردين)</t>
  </si>
  <si>
    <t>مصاريف مستحقة</t>
  </si>
  <si>
    <t>القروض طويلة الأجل</t>
  </si>
  <si>
    <t>لا تُخصم القروض طويلة الأجل</t>
  </si>
  <si>
    <t>⭐ حساب الزكاة</t>
  </si>
  <si>
    <t>إجمالي الأصول الزكوية (ريال)</t>
  </si>
  <si>
    <t>إجمالي الخصوم المعتمدة (ريال)</t>
  </si>
  <si>
    <t>وعاء الزكاة الصافي (ريال)</t>
  </si>
  <si>
    <t>نسبة الزكاة الواجبة</t>
  </si>
  <si>
    <t>⭐ مبلغ الزكاة الواجب سداده (ريال)</t>
  </si>
  <si>
    <t>تقويم الالتزامات الضريبية السنوي</t>
  </si>
  <si>
    <t>⚠️ التأخر في التقديم أو السداد يُعرضك لغرامات تصل إلى 25% من قيمة الضريبة</t>
  </si>
  <si>
    <t>الالتزام</t>
  </si>
  <si>
    <t>الدورية</t>
  </si>
  <si>
    <t>الموعد النهائي</t>
  </si>
  <si>
    <t>الغرامة عند التأخر</t>
  </si>
  <si>
    <t>الجهة</t>
  </si>
  <si>
    <t>الحالة</t>
  </si>
  <si>
    <t>إقرار ضريبة القيمة المضافة</t>
  </si>
  <si>
    <t>ربعي</t>
  </si>
  <si>
    <t>اليوم 30 من الشهر التالي</t>
  </si>
  <si>
    <t>5-25% من الضريبة</t>
  </si>
  <si>
    <t>ZATCA</t>
  </si>
  <si>
    <t>✅ منجز</t>
  </si>
  <si>
    <t>سداد ضريبة القيمة المضافة</t>
  </si>
  <si>
    <t>5% شهرياً + 25% عقوبة</t>
  </si>
  <si>
    <t>إقرار زكاة الشركات</t>
  </si>
  <si>
    <t>سنوي</t>
  </si>
  <si>
    <t>120 يوماً من نهاية السنة المالية</t>
  </si>
  <si>
    <t>1% شهرياً من الزكاة</t>
  </si>
  <si>
    <t>إقرار ضريبة الدخل (للأجانب)</t>
  </si>
  <si>
    <t>120 يوماً من نهاية السنة</t>
  </si>
  <si>
    <t>غرامات تصاعدية</t>
  </si>
  <si>
    <t>تجديد السجل التجاري</t>
  </si>
  <si>
    <t>قبل انتهاء الصلاحية</t>
  </si>
  <si>
    <t>إيقاف النشاط</t>
  </si>
  <si>
    <t>وزارة التجارة</t>
  </si>
  <si>
    <t>تجديد شهادة الزكاة</t>
  </si>
  <si>
    <t>بعد سداد الزكاة</t>
  </si>
  <si>
    <t>حرمان من المناقصات</t>
  </si>
  <si>
    <t>رواتب وتأمينات GOSI</t>
  </si>
  <si>
    <t>شهري</t>
  </si>
  <si>
    <t>اليوم 15 من الشهر التالي</t>
  </si>
  <si>
    <t>2% شهرياً</t>
  </si>
  <si>
    <t>GOSI</t>
  </si>
  <si>
    <t>تحديث بيانات المنشأة (Qiwa)</t>
  </si>
  <si>
    <t>عند التغيير</t>
  </si>
  <si>
    <t>فوري</t>
  </si>
  <si>
    <t>غرامات إدارية</t>
  </si>
  <si>
    <t>وزارة الموارد البشرية</t>
  </si>
  <si>
    <t>تجديد تراخيص البلدية</t>
  </si>
  <si>
    <t>البلدية</t>
  </si>
  <si>
    <t>تقديم الحسابات الختامية</t>
  </si>
  <si>
    <t>خلال 6 أشهر من نهاية السنة</t>
  </si>
  <si>
    <t>غرامات مالية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</si>
</sst>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b/>
      <sz val="10"/>
      <color rgb="FF375623"/>
      <name val="Arial"/>
      <charset val="1"/>
    </font>
    <font>
      <i/>
      <sz val="9"/>
      <color rgb="FF2E5FA3"/>
      <name val="Arial"/>
      <charset val="1"/>
    </font>
    <font>
      <b/>
      <sz val="10"/>
      <color rgb="FF1F3864"/>
      <name val="Arial"/>
      <charset val="1"/>
    </font>
    <font>
      <sz val="10"/>
      <color rgb="FF7B0000"/>
      <name val="Arial"/>
      <charset val="1"/>
    </font>
    <font>
      <b/>
      <sz val="9"/>
      <color rgb="FF7B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  <fill>
      <patternFill patternType="solid">
        <fgColor rgb="FFBDD7EE"/>
        <bgColor rgb="FF99CCFF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6" borderId="2" xfId="0" applyFont="1" applyFill="1" applyBorder="1" applyAlignment="1" applyProtection="1">
      <alignment horizontal="left" vertical="center" wrapText="1"/>
      <protection locked="0"/>
    </xf>
    <xf numFmtId="164" fontId="7" fillId="5" borderId="2" xfId="0" applyNumberFormat="1" applyFont="1" applyFill="1" applyBorder="1" applyAlignment="1" applyProtection="1">
      <alignment horizontal="right" vertical="center"/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4" fontId="7" fillId="5" borderId="2" xfId="0" applyNumberFormat="1" applyFont="1" applyFill="1" applyBorder="1" applyAlignment="1" applyProtection="1">
      <alignment horizontal="right" vertical="center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6" fillId="5" borderId="2" xfId="0" applyFont="1" applyFill="1" applyBorder="1" applyAlignment="1" applyProtection="1">
      <alignment horizontal="left" vertical="center" wrapText="1"/>
      <protection locked="0"/>
    </xf>
    <xf numFmtId="0" fontId="10" fillId="0" borderId="0" xfId="0" applyFont="1" applyProtection="1">
      <protection locked="0"/>
    </xf>
    <xf numFmtId="0" fontId="11" fillId="5" borderId="2" xfId="0" applyFont="1" applyFill="1" applyBorder="1" applyProtection="1">
      <protection locked="0"/>
    </xf>
    <xf numFmtId="0" fontId="12" fillId="7" borderId="2" xfId="0" applyFont="1" applyFill="1" applyBorder="1" applyProtection="1">
      <protection locked="0"/>
    </xf>
    <xf numFmtId="0" fontId="13" fillId="8" borderId="2" xfId="0" applyFont="1" applyFill="1" applyBorder="1" applyProtection="1">
      <protection locked="0"/>
    </xf>
    <xf numFmtId="0" fontId="14" fillId="9" borderId="2" xfId="0" applyFont="1" applyFill="1" applyBorder="1" applyProtection="1">
      <protection locked="0"/>
    </xf>
    <xf numFmtId="4" fontId="6" fillId="7" borderId="2" xfId="0" applyNumberFormat="1" applyFont="1" applyFill="1" applyBorder="1" applyAlignment="1" applyProtection="1">
      <alignment horizontal="right" vertical="center"/>
      <protection locked="0" hidden="1"/>
    </xf>
    <xf numFmtId="49" fontId="7" fillId="5" borderId="2" xfId="0" applyNumberFormat="1" applyFont="1" applyFill="1" applyBorder="1" applyAlignment="1" applyProtection="1">
      <alignment horizontal="right" vertical="center"/>
      <protection locked="0"/>
    </xf>
    <xf numFmtId="1" fontId="7" fillId="5" borderId="2" xfId="0" applyNumberFormat="1" applyFont="1" applyFill="1" applyBorder="1" applyAlignment="1" applyProtection="1">
      <alignment horizontal="right" vertical="center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4" fontId="15" fillId="8" borderId="3" xfId="0" applyNumberFormat="1" applyFont="1" applyFill="1" applyBorder="1" applyAlignment="1" applyProtection="1">
      <alignment horizontal="right" vertical="center"/>
      <protection locked="0" hidden="1"/>
    </xf>
    <xf numFmtId="0" fontId="16" fillId="0" borderId="0" xfId="0" applyFont="1" applyAlignment="1" applyProtection="1">
      <alignment horizontal="center" vertical="center" wrapText="1"/>
      <protection locked="0"/>
    </xf>
    <xf numFmtId="0" fontId="17" fillId="5" borderId="2" xfId="0" applyFont="1" applyFill="1" applyBorder="1" applyAlignment="1" applyProtection="1">
      <alignment horizontal="left" vertical="center" wrapText="1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3" fontId="7" fillId="5" borderId="2" xfId="0" applyNumberFormat="1" applyFont="1" applyFill="1" applyBorder="1" applyAlignment="1" applyProtection="1">
      <alignment horizontal="right" vertical="center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18" fillId="9" borderId="1" xfId="0" applyFont="1" applyFill="1" applyBorder="1" applyAlignment="1" applyProtection="1">
      <alignment horizontal="left" vertical="center" wrapText="1"/>
      <protection locked="0"/>
    </xf>
    <xf numFmtId="3" fontId="6" fillId="7" borderId="2" xfId="0" applyNumberFormat="1" applyFont="1" applyFill="1" applyBorder="1" applyAlignment="1" applyProtection="1">
      <alignment horizontal="right" vertical="center"/>
      <protection locked="0" hidden="1"/>
    </xf>
    <xf numFmtId="0" fontId="6" fillId="8" borderId="2" xfId="0" applyFont="1" applyFill="1" applyBorder="1" applyAlignment="1" applyProtection="1">
      <alignment horizontal="left" vertical="center" wrapText="1"/>
      <protection locked="0"/>
    </xf>
    <xf numFmtId="0" fontId="6" fillId="7" borderId="1" xfId="0" applyFont="1" applyFill="1" applyBorder="1" applyAlignment="1" applyProtection="1">
      <alignment horizontal="left" vertical="center" wrapText="1"/>
      <protection locked="0"/>
    </xf>
    <xf numFmtId="0" fontId="6" fillId="7" borderId="2" xfId="0" applyFont="1" applyFill="1" applyBorder="1" applyAlignment="1" applyProtection="1">
      <alignment horizontal="left" vertical="center" wrapText="1"/>
      <protection locked="0"/>
    </xf>
    <xf numFmtId="0" fontId="19" fillId="9" borderId="0" xfId="0" applyFont="1" applyFill="1" applyAlignment="1" applyProtection="1">
      <alignment horizontal="center" vertical="center" wrapText="1"/>
      <protection locked="0"/>
    </xf>
    <xf numFmtId="0" fontId="18" fillId="9" borderId="2" xfId="0" applyFont="1" applyFill="1" applyBorder="1" applyAlignment="1" applyProtection="1">
      <alignment horizontal="left" vertical="center" wrapText="1"/>
      <protection locked="0"/>
    </xf>
    <xf numFmtId="0" fontId="6" fillId="10" borderId="2" xfId="0" applyFont="1" applyFill="1" applyBorder="1" applyAlignment="1" applyProtection="1">
      <alignment horizontal="left" vertical="center" wrapText="1"/>
      <protection locked="0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tabSelected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6.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customHeight="1" x14ac:dyDescent="0.3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</row>
    <row r="7" spans="1:10" ht="16.5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3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18.75" customHeight="1" x14ac:dyDescent="0.35">
      <c r="B9" s="2" t="s">
        <v>2</v>
      </c>
      <c r="C9" s="2"/>
      <c r="D9" s="2"/>
      <c r="E9" s="2" t="s">
        <v>3</v>
      </c>
      <c r="F9" s="2"/>
      <c r="G9" s="2"/>
      <c r="H9" s="2" t="s">
        <v>4</v>
      </c>
      <c r="I9" s="2"/>
      <c r="J9" s="2"/>
    </row>
    <row r="10" spans="1:10" ht="15" customHeight="1" x14ac:dyDescent="0.35">
      <c r="B10" s="1" t="s">
        <v>5</v>
      </c>
      <c r="C10" s="1"/>
      <c r="D10" s="1"/>
      <c r="E10" s="1" t="s">
        <v>6</v>
      </c>
      <c r="F10" s="1"/>
      <c r="G10" s="1"/>
      <c r="H10" s="1" t="s">
        <v>7</v>
      </c>
      <c r="I10" s="1"/>
      <c r="J10" s="1"/>
    </row>
    <row r="11" spans="1:10" ht="16.5" customHeight="1" x14ac:dyDescent="0.35"/>
    <row r="12" spans="1:10" ht="16.5" customHeight="1" x14ac:dyDescent="0.35"/>
    <row r="13" spans="1:10" ht="18.75" customHeight="1" x14ac:dyDescent="0.35">
      <c r="B13" s="2" t="s">
        <v>8</v>
      </c>
      <c r="C13" s="2"/>
      <c r="D13" s="2"/>
      <c r="E13" s="2" t="s">
        <v>9</v>
      </c>
      <c r="F13" s="2"/>
      <c r="G13" s="2"/>
      <c r="H13" s="2" t="s">
        <v>10</v>
      </c>
      <c r="I13" s="2"/>
      <c r="J13" s="2"/>
    </row>
    <row r="14" spans="1:10" ht="15" customHeight="1" x14ac:dyDescent="0.35">
      <c r="B14" s="1" t="s">
        <v>11</v>
      </c>
      <c r="C14" s="1"/>
      <c r="D14" s="1"/>
      <c r="E14" s="1" t="s">
        <v>12</v>
      </c>
      <c r="F14" s="1"/>
      <c r="G14" s="1"/>
      <c r="H14" s="1" t="s">
        <v>13</v>
      </c>
      <c r="I14" s="1"/>
      <c r="J14" s="1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rightToLeft="1" topLeftCell="A14" zoomScaleNormal="100" workbookViewId="0">
      <selection activeCell="I19" sqref="I19"/>
    </sheetView>
  </sheetViews>
  <sheetFormatPr defaultColWidth="8.6328125" defaultRowHeight="14.5" x14ac:dyDescent="0.35"/>
  <cols>
    <col min="1" max="1" width="22" style="7" customWidth="1"/>
    <col min="2" max="2" width="18" style="7" customWidth="1"/>
    <col min="3" max="4" width="22" style="7" customWidth="1"/>
    <col min="5" max="6" width="16" style="7" customWidth="1"/>
    <col min="7" max="16384" width="8.6328125" style="7"/>
  </cols>
  <sheetData>
    <row r="1" spans="1:6" ht="27.75" customHeight="1" x14ac:dyDescent="0.35">
      <c r="A1" s="6" t="s">
        <v>14</v>
      </c>
      <c r="B1" s="6"/>
      <c r="C1" s="6"/>
      <c r="D1" s="6"/>
      <c r="E1" s="6"/>
      <c r="F1" s="6"/>
    </row>
    <row r="3" spans="1:6" ht="16.5" customHeight="1" x14ac:dyDescent="0.35">
      <c r="A3" s="8" t="s">
        <v>15</v>
      </c>
      <c r="B3" s="9">
        <v>0.15</v>
      </c>
    </row>
    <row r="5" spans="1:6" ht="21.75" customHeight="1" x14ac:dyDescent="0.35">
      <c r="A5" s="10" t="s">
        <v>16</v>
      </c>
      <c r="B5" s="10"/>
      <c r="C5" s="10"/>
      <c r="D5" s="10"/>
      <c r="E5" s="10"/>
      <c r="F5" s="10"/>
    </row>
    <row r="6" spans="1:6" ht="19.5" customHeight="1" x14ac:dyDescent="0.35">
      <c r="A6" s="11" t="s">
        <v>17</v>
      </c>
      <c r="B6" s="11" t="s">
        <v>18</v>
      </c>
      <c r="C6" s="12" t="s">
        <v>19</v>
      </c>
      <c r="D6" s="12"/>
      <c r="E6" s="12"/>
      <c r="F6" s="12"/>
    </row>
    <row r="7" spans="1:6" ht="15.75" customHeight="1" x14ac:dyDescent="0.35">
      <c r="A7" s="13">
        <v>0</v>
      </c>
      <c r="B7" s="21">
        <f>A7*$B$3</f>
        <v>0</v>
      </c>
      <c r="C7" s="21">
        <f>A7+B7</f>
        <v>0</v>
      </c>
    </row>
    <row r="8" spans="1:6" ht="15.75" customHeight="1" x14ac:dyDescent="0.35">
      <c r="A8" s="13">
        <v>0</v>
      </c>
      <c r="B8" s="21">
        <f>A8*$B$3</f>
        <v>0</v>
      </c>
      <c r="C8" s="21">
        <f>A8+B8</f>
        <v>0</v>
      </c>
    </row>
    <row r="9" spans="1:6" ht="15.75" customHeight="1" x14ac:dyDescent="0.35">
      <c r="A9" s="13">
        <v>0</v>
      </c>
      <c r="B9" s="21">
        <f>A9*$B$3</f>
        <v>0</v>
      </c>
      <c r="C9" s="21">
        <f>A9+B9</f>
        <v>0</v>
      </c>
    </row>
    <row r="10" spans="1:6" ht="15.75" customHeight="1" x14ac:dyDescent="0.35">
      <c r="A10" s="13">
        <v>0</v>
      </c>
      <c r="B10" s="21">
        <f>A10*$B$3</f>
        <v>0</v>
      </c>
      <c r="C10" s="21">
        <f>A10+B10</f>
        <v>0</v>
      </c>
    </row>
    <row r="11" spans="1:6" ht="15.75" customHeight="1" x14ac:dyDescent="0.35">
      <c r="A11" s="13">
        <v>0</v>
      </c>
      <c r="B11" s="21">
        <f>A11*$B$3</f>
        <v>0</v>
      </c>
      <c r="C11" s="21">
        <f>A11+B11</f>
        <v>0</v>
      </c>
    </row>
    <row r="13" spans="1:6" ht="21.75" customHeight="1" x14ac:dyDescent="0.35">
      <c r="A13" s="10" t="s">
        <v>20</v>
      </c>
      <c r="B13" s="10"/>
      <c r="C13" s="10"/>
      <c r="D13" s="10"/>
      <c r="E13" s="10"/>
      <c r="F13" s="10"/>
    </row>
    <row r="14" spans="1:6" ht="19.5" customHeight="1" x14ac:dyDescent="0.35">
      <c r="A14" s="11" t="s">
        <v>21</v>
      </c>
      <c r="B14" s="11" t="s">
        <v>22</v>
      </c>
      <c r="C14" s="12" t="s">
        <v>17</v>
      </c>
      <c r="D14" s="12"/>
      <c r="E14" s="12"/>
      <c r="F14" s="12"/>
    </row>
    <row r="15" spans="1:6" ht="15.75" customHeight="1" x14ac:dyDescent="0.35">
      <c r="A15" s="13">
        <v>0</v>
      </c>
      <c r="B15" s="21">
        <f>A15*$B$3/(1+$B$3)</f>
        <v>0</v>
      </c>
      <c r="C15" s="21">
        <f>A15-B15</f>
        <v>0</v>
      </c>
    </row>
    <row r="16" spans="1:6" ht="15.75" customHeight="1" x14ac:dyDescent="0.35">
      <c r="A16" s="13">
        <v>0</v>
      </c>
      <c r="B16" s="21">
        <f>A16*$B$3/(1+$B$3)</f>
        <v>0</v>
      </c>
      <c r="C16" s="21">
        <f>A16-B16</f>
        <v>0</v>
      </c>
    </row>
    <row r="17" spans="1:6" ht="15.75" customHeight="1" x14ac:dyDescent="0.35">
      <c r="A17" s="13">
        <v>0</v>
      </c>
      <c r="B17" s="21">
        <f>A17*$B$3/(1+$B$3)</f>
        <v>0</v>
      </c>
      <c r="C17" s="21">
        <f>A17-B17</f>
        <v>0</v>
      </c>
    </row>
    <row r="18" spans="1:6" ht="15.75" customHeight="1" x14ac:dyDescent="0.35">
      <c r="A18" s="13">
        <v>0</v>
      </c>
      <c r="B18" s="21">
        <f>A18*$B$3/(1+$B$3)</f>
        <v>0</v>
      </c>
      <c r="C18" s="21">
        <f>A18-B18</f>
        <v>0</v>
      </c>
    </row>
    <row r="19" spans="1:6" ht="15.75" customHeight="1" x14ac:dyDescent="0.35">
      <c r="A19" s="13">
        <v>0</v>
      </c>
      <c r="B19" s="21">
        <f>A19*$B$3/(1+$B$3)</f>
        <v>0</v>
      </c>
      <c r="C19" s="21">
        <f>A19-B19</f>
        <v>0</v>
      </c>
    </row>
    <row r="21" spans="1:6" ht="21.75" customHeight="1" x14ac:dyDescent="0.35">
      <c r="A21" s="14" t="s">
        <v>23</v>
      </c>
      <c r="B21" s="14"/>
      <c r="C21" s="14"/>
      <c r="D21" s="14"/>
      <c r="E21" s="14"/>
      <c r="F21" s="14"/>
    </row>
    <row r="22" spans="1:6" ht="19.5" customHeight="1" x14ac:dyDescent="0.35">
      <c r="A22" s="11" t="s">
        <v>24</v>
      </c>
      <c r="B22" s="11" t="s">
        <v>25</v>
      </c>
      <c r="C22" s="11" t="s">
        <v>26</v>
      </c>
      <c r="D22" s="11" t="s">
        <v>27</v>
      </c>
      <c r="E22" s="11" t="s">
        <v>28</v>
      </c>
      <c r="F22" s="11" t="s">
        <v>29</v>
      </c>
    </row>
    <row r="23" spans="1:6" ht="15" customHeight="1" x14ac:dyDescent="0.35">
      <c r="A23" s="15" t="s">
        <v>30</v>
      </c>
      <c r="B23" s="21">
        <f>100*0.15</f>
        <v>15</v>
      </c>
      <c r="C23" s="21">
        <f>100*1.15</f>
        <v>114.99999999999999</v>
      </c>
      <c r="D23" s="15" t="s">
        <v>31</v>
      </c>
      <c r="E23" s="21">
        <f>115*0.15/1.15</f>
        <v>15.000000000000002</v>
      </c>
      <c r="F23" s="21">
        <f>100</f>
        <v>100</v>
      </c>
    </row>
    <row r="24" spans="1:6" ht="15" customHeight="1" x14ac:dyDescent="0.35">
      <c r="A24" s="15" t="s">
        <v>32</v>
      </c>
      <c r="B24" s="21">
        <f>500*0.15</f>
        <v>75</v>
      </c>
      <c r="C24" s="21">
        <f>500*1.15</f>
        <v>575</v>
      </c>
      <c r="D24" s="15" t="s">
        <v>33</v>
      </c>
      <c r="E24" s="21">
        <f>575*0.15/1.15</f>
        <v>75</v>
      </c>
      <c r="F24" s="21">
        <f>500</f>
        <v>500</v>
      </c>
    </row>
    <row r="25" spans="1:6" ht="15" customHeight="1" x14ac:dyDescent="0.35">
      <c r="A25" s="15" t="s">
        <v>34</v>
      </c>
      <c r="B25" s="21">
        <f>1000*0.15</f>
        <v>150</v>
      </c>
      <c r="C25" s="21">
        <f>1000*1.15</f>
        <v>1150</v>
      </c>
      <c r="D25" s="15" t="s">
        <v>35</v>
      </c>
      <c r="E25" s="21">
        <f>1150*0.15/1.15</f>
        <v>150</v>
      </c>
      <c r="F25" s="21">
        <f>1000</f>
        <v>1000</v>
      </c>
    </row>
    <row r="26" spans="1:6" ht="15" customHeight="1" x14ac:dyDescent="0.35">
      <c r="A26" s="15" t="s">
        <v>36</v>
      </c>
      <c r="B26" s="21">
        <f>2500*0.15</f>
        <v>375</v>
      </c>
      <c r="C26" s="21">
        <f>2500*1.15</f>
        <v>2875</v>
      </c>
      <c r="D26" s="15" t="s">
        <v>37</v>
      </c>
      <c r="E26" s="21">
        <f>2875*0.15/1.15</f>
        <v>375.00000000000006</v>
      </c>
      <c r="F26" s="21">
        <f>2500</f>
        <v>2500</v>
      </c>
    </row>
    <row r="27" spans="1:6" ht="15" customHeight="1" x14ac:dyDescent="0.35">
      <c r="A27" s="15" t="s">
        <v>38</v>
      </c>
      <c r="B27" s="21">
        <f>5000*0.15</f>
        <v>750</v>
      </c>
      <c r="C27" s="21">
        <f>5000*1.15</f>
        <v>5750</v>
      </c>
      <c r="D27" s="15" t="s">
        <v>39</v>
      </c>
      <c r="E27" s="21">
        <f>5750*0.15/1.15</f>
        <v>750.00000000000011</v>
      </c>
      <c r="F27" s="21">
        <f>5000</f>
        <v>5000</v>
      </c>
    </row>
    <row r="28" spans="1:6" ht="15" customHeight="1" x14ac:dyDescent="0.35">
      <c r="A28" s="15" t="s">
        <v>40</v>
      </c>
      <c r="B28" s="21">
        <f>10000*0.15</f>
        <v>1500</v>
      </c>
      <c r="C28" s="21">
        <f>10000*1.15</f>
        <v>11500</v>
      </c>
      <c r="D28" s="15" t="s">
        <v>41</v>
      </c>
      <c r="E28" s="21">
        <f>11500*0.15/1.15</f>
        <v>1500.0000000000002</v>
      </c>
      <c r="F28" s="21">
        <f>10000</f>
        <v>10000</v>
      </c>
    </row>
    <row r="29" spans="1:6" ht="15" customHeight="1" x14ac:dyDescent="0.35">
      <c r="A29" s="15" t="s">
        <v>42</v>
      </c>
      <c r="B29" s="21">
        <f>25000*0.15</f>
        <v>3750</v>
      </c>
      <c r="C29" s="21">
        <f>25000*1.15</f>
        <v>28749.999999999996</v>
      </c>
      <c r="D29" s="15" t="s">
        <v>43</v>
      </c>
      <c r="E29" s="21">
        <f>28750*0.15/1.15</f>
        <v>3750.0000000000005</v>
      </c>
      <c r="F29" s="21">
        <f>25000</f>
        <v>25000</v>
      </c>
    </row>
    <row r="30" spans="1:6" ht="15" customHeight="1" x14ac:dyDescent="0.35">
      <c r="A30" s="15" t="s">
        <v>44</v>
      </c>
      <c r="B30" s="21">
        <f>50000*0.15</f>
        <v>7500</v>
      </c>
      <c r="C30" s="21">
        <f>50000*1.15</f>
        <v>57499.999999999993</v>
      </c>
      <c r="D30" s="15" t="s">
        <v>45</v>
      </c>
      <c r="E30" s="21">
        <f>57500*0.15/1.15</f>
        <v>7500.0000000000009</v>
      </c>
      <c r="F30" s="21">
        <f>50000</f>
        <v>50000</v>
      </c>
    </row>
    <row r="31" spans="1:6" ht="15" customHeight="1" x14ac:dyDescent="0.35">
      <c r="A31" s="15" t="s">
        <v>46</v>
      </c>
      <c r="B31" s="21">
        <f>100000*0.15</f>
        <v>15000</v>
      </c>
      <c r="C31" s="21">
        <f>100000*1.15</f>
        <v>114999.99999999999</v>
      </c>
      <c r="D31" s="15" t="s">
        <v>47</v>
      </c>
      <c r="E31" s="21">
        <f>115000*0.15/1.15</f>
        <v>15000.000000000002</v>
      </c>
      <c r="F31" s="21">
        <f>100000</f>
        <v>100000</v>
      </c>
    </row>
    <row r="33" spans="1:1" x14ac:dyDescent="0.35">
      <c r="A33" s="16" t="s">
        <v>48</v>
      </c>
    </row>
    <row r="34" spans="1:1" ht="12.75" customHeight="1" x14ac:dyDescent="0.35">
      <c r="A34" s="17" t="s">
        <v>49</v>
      </c>
    </row>
    <row r="35" spans="1:1" ht="12.75" customHeight="1" x14ac:dyDescent="0.35">
      <c r="A35" s="18" t="s">
        <v>50</v>
      </c>
    </row>
    <row r="36" spans="1:1" ht="12.75" customHeight="1" x14ac:dyDescent="0.35">
      <c r="A36" s="19" t="s">
        <v>51</v>
      </c>
    </row>
    <row r="37" spans="1:1" ht="12.75" customHeight="1" x14ac:dyDescent="0.35">
      <c r="A37" s="20" t="s">
        <v>52</v>
      </c>
    </row>
  </sheetData>
  <sheetProtection algorithmName="SHA-512" hashValue="cGEGH2mG+l9f4JyjzCIb4DvFXPsYmXJqvaeC4FS3GP9/7EdvRJylaNaPm6K6QYCWApizCyVWUjByl3Bu9nWX/w==" saltValue="TvkqzWKea7OEmIUqKJ85Jw==" spinCount="100000" sheet="1" objects="1" scenarios="1"/>
  <mergeCells count="6">
    <mergeCell ref="A21:F21"/>
    <mergeCell ref="A1:F1"/>
    <mergeCell ref="A5:F5"/>
    <mergeCell ref="C6:F6"/>
    <mergeCell ref="A13:F13"/>
    <mergeCell ref="C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rightToLeft="1" topLeftCell="A11" zoomScaleNormal="100" workbookViewId="0">
      <selection activeCell="E26" sqref="E26"/>
    </sheetView>
  </sheetViews>
  <sheetFormatPr defaultColWidth="8.6328125" defaultRowHeight="14.5" x14ac:dyDescent="0.35"/>
  <cols>
    <col min="1" max="1" width="14" style="7" customWidth="1"/>
    <col min="2" max="2" width="12" style="7" customWidth="1"/>
    <col min="3" max="3" width="18" style="7" customWidth="1"/>
    <col min="4" max="4" width="16" style="7" customWidth="1"/>
    <col min="5" max="5" width="18" style="7" customWidth="1"/>
    <col min="6" max="7" width="16" style="7" customWidth="1"/>
    <col min="8" max="8" width="12" style="7" customWidth="1"/>
    <col min="9" max="9" width="14" style="7" customWidth="1"/>
    <col min="10" max="10" width="5" style="7" customWidth="1"/>
    <col min="11" max="16384" width="8.6328125" style="7"/>
  </cols>
  <sheetData>
    <row r="1" spans="1:10" ht="27.75" customHeight="1" x14ac:dyDescent="0.35">
      <c r="A1" s="6" t="s">
        <v>53</v>
      </c>
      <c r="B1" s="6"/>
      <c r="C1" s="6"/>
      <c r="D1" s="6"/>
      <c r="E1" s="6"/>
      <c r="F1" s="6"/>
      <c r="G1" s="6"/>
      <c r="H1" s="6"/>
      <c r="I1" s="6"/>
      <c r="J1" s="6"/>
    </row>
    <row r="2" spans="1:10" ht="16.5" customHeight="1" x14ac:dyDescent="0.35">
      <c r="A2" s="8" t="s">
        <v>54</v>
      </c>
      <c r="B2" s="22" t="s">
        <v>55</v>
      </c>
      <c r="D2" s="8" t="s">
        <v>56</v>
      </c>
      <c r="E2" s="23">
        <v>2025</v>
      </c>
    </row>
    <row r="4" spans="1:10" ht="21.75" customHeight="1" x14ac:dyDescent="0.35">
      <c r="A4" s="10" t="s">
        <v>57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19.5" customHeight="1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17</v>
      </c>
      <c r="F5" s="11" t="s">
        <v>62</v>
      </c>
      <c r="G5" s="11" t="s">
        <v>63</v>
      </c>
      <c r="H5" s="11" t="s">
        <v>64</v>
      </c>
      <c r="I5" s="11" t="s">
        <v>65</v>
      </c>
    </row>
    <row r="6" spans="1:10" ht="15.75" customHeight="1" x14ac:dyDescent="0.35">
      <c r="A6" s="22" t="s">
        <v>66</v>
      </c>
      <c r="B6" s="22"/>
      <c r="C6" s="22"/>
      <c r="D6" s="22"/>
      <c r="E6" s="13">
        <v>0</v>
      </c>
      <c r="F6" s="21">
        <f t="shared" ref="F6:F13" si="0">E6*0.15</f>
        <v>0</v>
      </c>
      <c r="G6" s="21">
        <f t="shared" ref="G6:G13" si="1">E6+F6</f>
        <v>0</v>
      </c>
      <c r="H6" s="22" t="s">
        <v>67</v>
      </c>
      <c r="I6" s="22"/>
    </row>
    <row r="7" spans="1:10" ht="15.75" customHeight="1" x14ac:dyDescent="0.35">
      <c r="A7" s="22" t="s">
        <v>68</v>
      </c>
      <c r="B7" s="22"/>
      <c r="C7" s="22"/>
      <c r="D7" s="22"/>
      <c r="E7" s="13">
        <v>0</v>
      </c>
      <c r="F7" s="21">
        <f t="shared" si="0"/>
        <v>0</v>
      </c>
      <c r="G7" s="21">
        <f t="shared" si="1"/>
        <v>0</v>
      </c>
      <c r="H7" s="22" t="s">
        <v>67</v>
      </c>
      <c r="I7" s="22"/>
    </row>
    <row r="8" spans="1:10" ht="15.75" customHeight="1" x14ac:dyDescent="0.35">
      <c r="A8" s="22" t="s">
        <v>69</v>
      </c>
      <c r="B8" s="22"/>
      <c r="C8" s="22"/>
      <c r="D8" s="22"/>
      <c r="E8" s="13">
        <v>0</v>
      </c>
      <c r="F8" s="21">
        <f t="shared" si="0"/>
        <v>0</v>
      </c>
      <c r="G8" s="21">
        <f t="shared" si="1"/>
        <v>0</v>
      </c>
      <c r="H8" s="22" t="s">
        <v>67</v>
      </c>
      <c r="I8" s="22"/>
    </row>
    <row r="9" spans="1:10" ht="15.75" customHeight="1" x14ac:dyDescent="0.35">
      <c r="A9" s="22" t="s">
        <v>70</v>
      </c>
      <c r="B9" s="22"/>
      <c r="C9" s="22"/>
      <c r="D9" s="22"/>
      <c r="E9" s="13">
        <v>0</v>
      </c>
      <c r="F9" s="21">
        <f t="shared" si="0"/>
        <v>0</v>
      </c>
      <c r="G9" s="21">
        <f t="shared" si="1"/>
        <v>0</v>
      </c>
      <c r="H9" s="22" t="s">
        <v>67</v>
      </c>
      <c r="I9" s="22"/>
    </row>
    <row r="10" spans="1:10" ht="15.75" customHeight="1" x14ac:dyDescent="0.35">
      <c r="A10" s="22" t="s">
        <v>71</v>
      </c>
      <c r="B10" s="22"/>
      <c r="C10" s="22"/>
      <c r="D10" s="22"/>
      <c r="E10" s="13">
        <v>0</v>
      </c>
      <c r="F10" s="21">
        <f t="shared" si="0"/>
        <v>0</v>
      </c>
      <c r="G10" s="21">
        <f t="shared" si="1"/>
        <v>0</v>
      </c>
      <c r="H10" s="22" t="s">
        <v>67</v>
      </c>
      <c r="I10" s="22"/>
    </row>
    <row r="11" spans="1:10" ht="15.75" customHeight="1" x14ac:dyDescent="0.35">
      <c r="A11" s="22" t="s">
        <v>72</v>
      </c>
      <c r="B11" s="22"/>
      <c r="C11" s="22"/>
      <c r="D11" s="22"/>
      <c r="E11" s="13">
        <v>0</v>
      </c>
      <c r="F11" s="21">
        <f t="shared" si="0"/>
        <v>0</v>
      </c>
      <c r="G11" s="21">
        <f t="shared" si="1"/>
        <v>0</v>
      </c>
      <c r="H11" s="22" t="s">
        <v>67</v>
      </c>
      <c r="I11" s="22"/>
    </row>
    <row r="12" spans="1:10" ht="15.75" customHeight="1" x14ac:dyDescent="0.35">
      <c r="A12" s="22" t="s">
        <v>73</v>
      </c>
      <c r="B12" s="22"/>
      <c r="C12" s="22"/>
      <c r="D12" s="22"/>
      <c r="E12" s="13">
        <v>0</v>
      </c>
      <c r="F12" s="21">
        <f t="shared" si="0"/>
        <v>0</v>
      </c>
      <c r="G12" s="21">
        <f t="shared" si="1"/>
        <v>0</v>
      </c>
      <c r="H12" s="22" t="s">
        <v>67</v>
      </c>
      <c r="I12" s="22"/>
    </row>
    <row r="13" spans="1:10" ht="15.75" customHeight="1" x14ac:dyDescent="0.35">
      <c r="A13" s="22" t="s">
        <v>74</v>
      </c>
      <c r="B13" s="22"/>
      <c r="C13" s="22"/>
      <c r="D13" s="22"/>
      <c r="E13" s="13">
        <v>0</v>
      </c>
      <c r="F13" s="21">
        <f t="shared" si="0"/>
        <v>0</v>
      </c>
      <c r="G13" s="21">
        <f t="shared" si="1"/>
        <v>0</v>
      </c>
      <c r="H13" s="22" t="s">
        <v>67</v>
      </c>
      <c r="I13" s="22"/>
    </row>
    <row r="14" spans="1:10" ht="19.5" customHeight="1" x14ac:dyDescent="0.35">
      <c r="A14" s="24" t="s">
        <v>75</v>
      </c>
      <c r="B14" s="24"/>
      <c r="C14" s="24"/>
      <c r="D14" s="24"/>
      <c r="E14" s="25">
        <f>SUM(E6:E13)</f>
        <v>0</v>
      </c>
      <c r="F14" s="25">
        <f>SUM(F6:F13)</f>
        <v>0</v>
      </c>
      <c r="G14" s="25">
        <f>SUM(G6:G13)</f>
        <v>0</v>
      </c>
    </row>
    <row r="16" spans="1:10" ht="21.75" customHeight="1" x14ac:dyDescent="0.35">
      <c r="A16" s="10" t="s">
        <v>76</v>
      </c>
      <c r="B16" s="10"/>
      <c r="C16" s="10"/>
      <c r="D16" s="10"/>
      <c r="E16" s="10"/>
      <c r="F16" s="10"/>
      <c r="G16" s="10"/>
      <c r="H16" s="10"/>
      <c r="I16" s="10"/>
      <c r="J16" s="10"/>
    </row>
    <row r="17" spans="1:9" ht="19.5" customHeight="1" x14ac:dyDescent="0.35">
      <c r="A17" s="11" t="s">
        <v>58</v>
      </c>
      <c r="B17" s="11" t="s">
        <v>59</v>
      </c>
      <c r="C17" s="11" t="s">
        <v>77</v>
      </c>
      <c r="D17" s="11" t="s">
        <v>61</v>
      </c>
      <c r="E17" s="11" t="s">
        <v>17</v>
      </c>
      <c r="F17" s="11" t="s">
        <v>78</v>
      </c>
      <c r="G17" s="11" t="s">
        <v>63</v>
      </c>
      <c r="H17" s="11" t="s">
        <v>79</v>
      </c>
      <c r="I17" s="11" t="s">
        <v>65</v>
      </c>
    </row>
    <row r="18" spans="1:9" ht="15.75" customHeight="1" x14ac:dyDescent="0.35">
      <c r="A18" s="22" t="s">
        <v>80</v>
      </c>
      <c r="B18" s="22"/>
      <c r="C18" s="22"/>
      <c r="D18" s="22"/>
      <c r="E18" s="13">
        <v>0</v>
      </c>
      <c r="F18" s="21">
        <f t="shared" ref="F18:F25" si="2">E18*0.15</f>
        <v>0</v>
      </c>
      <c r="G18" s="21">
        <f t="shared" ref="G18:G25" si="3">E18+F18</f>
        <v>0</v>
      </c>
      <c r="H18" s="22" t="s">
        <v>81</v>
      </c>
      <c r="I18" s="22"/>
    </row>
    <row r="19" spans="1:9" ht="15.75" customHeight="1" x14ac:dyDescent="0.35">
      <c r="A19" s="22" t="s">
        <v>82</v>
      </c>
      <c r="B19" s="22"/>
      <c r="C19" s="22"/>
      <c r="D19" s="22"/>
      <c r="E19" s="13">
        <v>0</v>
      </c>
      <c r="F19" s="21">
        <f t="shared" si="2"/>
        <v>0</v>
      </c>
      <c r="G19" s="21">
        <f t="shared" si="3"/>
        <v>0</v>
      </c>
      <c r="H19" s="22" t="s">
        <v>81</v>
      </c>
      <c r="I19" s="22"/>
    </row>
    <row r="20" spans="1:9" ht="15.75" customHeight="1" x14ac:dyDescent="0.35">
      <c r="A20" s="22" t="s">
        <v>83</v>
      </c>
      <c r="B20" s="22"/>
      <c r="C20" s="22"/>
      <c r="D20" s="22"/>
      <c r="E20" s="13">
        <v>0</v>
      </c>
      <c r="F20" s="21">
        <f t="shared" si="2"/>
        <v>0</v>
      </c>
      <c r="G20" s="21">
        <f t="shared" si="3"/>
        <v>0</v>
      </c>
      <c r="H20" s="22" t="s">
        <v>81</v>
      </c>
      <c r="I20" s="22"/>
    </row>
    <row r="21" spans="1:9" ht="15.75" customHeight="1" x14ac:dyDescent="0.35">
      <c r="A21" s="22" t="s">
        <v>84</v>
      </c>
      <c r="B21" s="22"/>
      <c r="C21" s="22"/>
      <c r="D21" s="22"/>
      <c r="E21" s="13">
        <v>0</v>
      </c>
      <c r="F21" s="21">
        <f t="shared" si="2"/>
        <v>0</v>
      </c>
      <c r="G21" s="21">
        <f t="shared" si="3"/>
        <v>0</v>
      </c>
      <c r="H21" s="22" t="s">
        <v>81</v>
      </c>
      <c r="I21" s="22"/>
    </row>
    <row r="22" spans="1:9" ht="15.75" customHeight="1" x14ac:dyDescent="0.35">
      <c r="A22" s="22" t="s">
        <v>85</v>
      </c>
      <c r="B22" s="22"/>
      <c r="C22" s="22"/>
      <c r="D22" s="22"/>
      <c r="E22" s="13">
        <v>0</v>
      </c>
      <c r="F22" s="21">
        <f t="shared" si="2"/>
        <v>0</v>
      </c>
      <c r="G22" s="21">
        <f t="shared" si="3"/>
        <v>0</v>
      </c>
      <c r="H22" s="22" t="s">
        <v>81</v>
      </c>
      <c r="I22" s="22"/>
    </row>
    <row r="23" spans="1:9" ht="15.75" customHeight="1" x14ac:dyDescent="0.35">
      <c r="A23" s="22" t="s">
        <v>86</v>
      </c>
      <c r="B23" s="22"/>
      <c r="C23" s="22"/>
      <c r="D23" s="22"/>
      <c r="E23" s="13">
        <v>0</v>
      </c>
      <c r="F23" s="21">
        <f t="shared" si="2"/>
        <v>0</v>
      </c>
      <c r="G23" s="21">
        <f t="shared" si="3"/>
        <v>0</v>
      </c>
      <c r="H23" s="22" t="s">
        <v>81</v>
      </c>
      <c r="I23" s="22"/>
    </row>
    <row r="24" spans="1:9" ht="15.75" customHeight="1" x14ac:dyDescent="0.35">
      <c r="A24" s="22" t="s">
        <v>87</v>
      </c>
      <c r="B24" s="22"/>
      <c r="C24" s="22"/>
      <c r="D24" s="22"/>
      <c r="E24" s="13">
        <v>0</v>
      </c>
      <c r="F24" s="21">
        <f t="shared" si="2"/>
        <v>0</v>
      </c>
      <c r="G24" s="21">
        <f t="shared" si="3"/>
        <v>0</v>
      </c>
      <c r="H24" s="22" t="s">
        <v>81</v>
      </c>
      <c r="I24" s="22"/>
    </row>
    <row r="25" spans="1:9" ht="15.75" customHeight="1" x14ac:dyDescent="0.35">
      <c r="A25" s="22" t="s">
        <v>88</v>
      </c>
      <c r="B25" s="22"/>
      <c r="C25" s="22"/>
      <c r="D25" s="22"/>
      <c r="E25" s="13">
        <v>0</v>
      </c>
      <c r="F25" s="21">
        <f t="shared" si="2"/>
        <v>0</v>
      </c>
      <c r="G25" s="21">
        <f t="shared" si="3"/>
        <v>0</v>
      </c>
      <c r="H25" s="22" t="s">
        <v>81</v>
      </c>
      <c r="I25" s="22"/>
    </row>
    <row r="26" spans="1:9" ht="19.5" customHeight="1" x14ac:dyDescent="0.35">
      <c r="A26" s="24" t="s">
        <v>89</v>
      </c>
      <c r="B26" s="24"/>
      <c r="C26" s="24"/>
      <c r="D26" s="24"/>
      <c r="E26" s="25">
        <f>SUM(E18:E25)</f>
        <v>0</v>
      </c>
      <c r="F26" s="25">
        <f>SUM(F18:F25)</f>
        <v>0</v>
      </c>
      <c r="G26" s="25">
        <f>SUM(G18:G25)</f>
        <v>0</v>
      </c>
    </row>
    <row r="28" spans="1:9" x14ac:dyDescent="0.35">
      <c r="A28" s="16" t="s">
        <v>48</v>
      </c>
    </row>
    <row r="29" spans="1:9" ht="12.75" customHeight="1" x14ac:dyDescent="0.35">
      <c r="A29" s="17" t="s">
        <v>49</v>
      </c>
    </row>
    <row r="30" spans="1:9" ht="12.75" customHeight="1" x14ac:dyDescent="0.35">
      <c r="A30" s="18" t="s">
        <v>50</v>
      </c>
    </row>
    <row r="31" spans="1:9" ht="12.75" customHeight="1" x14ac:dyDescent="0.35">
      <c r="A31" s="19" t="s">
        <v>51</v>
      </c>
    </row>
    <row r="32" spans="1:9" ht="12.75" customHeight="1" x14ac:dyDescent="0.35">
      <c r="A32" s="20" t="s">
        <v>52</v>
      </c>
    </row>
  </sheetData>
  <sheetProtection algorithmName="SHA-512" hashValue="XNJNWXXdtnJ0cnJsxdyp5/IXvaXXzhL+cqQAAYu4XIhTXjXZ1PoDzh3mhElPxVHVc4BJr+Sets1xQIKwlNI/Ww==" saltValue="na0tUStjtkmmVI692ThkfQ==" spinCount="100000" sheet="1" objects="1" scenarios="1"/>
  <mergeCells count="5">
    <mergeCell ref="A1:J1"/>
    <mergeCell ref="A4:J4"/>
    <mergeCell ref="A14:D14"/>
    <mergeCell ref="A16:J16"/>
    <mergeCell ref="A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rightToLeft="1" topLeftCell="A14" zoomScaleNormal="100" workbookViewId="0">
      <selection activeCell="D29" sqref="D29"/>
    </sheetView>
  </sheetViews>
  <sheetFormatPr defaultColWidth="8.6328125" defaultRowHeight="14.5" x14ac:dyDescent="0.35"/>
  <cols>
    <col min="1" max="1" width="30" style="7" customWidth="1"/>
    <col min="2" max="4" width="16" style="7" customWidth="1"/>
    <col min="5" max="5" width="18" style="7" customWidth="1"/>
    <col min="6" max="16384" width="8.6328125" style="7"/>
  </cols>
  <sheetData>
    <row r="1" spans="1:5" ht="27.75" customHeight="1" x14ac:dyDescent="0.35">
      <c r="A1" s="6" t="s">
        <v>90</v>
      </c>
      <c r="B1" s="6"/>
      <c r="C1" s="6"/>
      <c r="D1" s="6"/>
      <c r="E1" s="6"/>
    </row>
    <row r="2" spans="1:5" ht="15" customHeight="1" x14ac:dyDescent="0.35">
      <c r="A2" s="26" t="s">
        <v>91</v>
      </c>
      <c r="B2" s="26"/>
      <c r="C2" s="26"/>
      <c r="D2" s="26"/>
      <c r="E2" s="26"/>
    </row>
    <row r="4" spans="1:5" ht="16.5" customHeight="1" x14ac:dyDescent="0.35">
      <c r="A4" s="27" t="s">
        <v>92</v>
      </c>
      <c r="B4" s="22" t="s">
        <v>93</v>
      </c>
    </row>
    <row r="5" spans="1:5" ht="16.5" customHeight="1" x14ac:dyDescent="0.35">
      <c r="A5" s="27" t="s">
        <v>94</v>
      </c>
      <c r="B5" s="22"/>
    </row>
    <row r="6" spans="1:5" ht="16.5" customHeight="1" x14ac:dyDescent="0.35">
      <c r="A6" s="27" t="s">
        <v>95</v>
      </c>
      <c r="B6" s="22"/>
    </row>
    <row r="8" spans="1:5" ht="21.75" customHeight="1" x14ac:dyDescent="0.35">
      <c r="A8" s="10" t="s">
        <v>96</v>
      </c>
      <c r="B8" s="10"/>
      <c r="C8" s="10"/>
      <c r="D8" s="10"/>
      <c r="E8" s="10"/>
    </row>
    <row r="9" spans="1:5" ht="19.5" customHeight="1" x14ac:dyDescent="0.35">
      <c r="A9" s="11" t="s">
        <v>97</v>
      </c>
      <c r="B9" s="11" t="s">
        <v>98</v>
      </c>
      <c r="C9" s="11" t="s">
        <v>99</v>
      </c>
      <c r="D9" s="11" t="s">
        <v>100</v>
      </c>
      <c r="E9" s="28" t="s">
        <v>101</v>
      </c>
    </row>
    <row r="10" spans="1:5" ht="16.5" customHeight="1" x14ac:dyDescent="0.35">
      <c r="A10" s="8" t="s">
        <v>102</v>
      </c>
      <c r="B10" s="29">
        <v>0</v>
      </c>
      <c r="C10" s="29">
        <v>0</v>
      </c>
      <c r="D10" s="29">
        <v>0</v>
      </c>
      <c r="E10" s="33">
        <f>SUM(B10:D10)</f>
        <v>0</v>
      </c>
    </row>
    <row r="11" spans="1:5" ht="16.5" customHeight="1" x14ac:dyDescent="0.35">
      <c r="A11" s="8" t="s">
        <v>103</v>
      </c>
      <c r="B11" s="29">
        <v>0</v>
      </c>
      <c r="C11" s="29">
        <v>0</v>
      </c>
      <c r="D11" s="29">
        <v>0</v>
      </c>
      <c r="E11" s="33">
        <f>SUM(B11:D11)</f>
        <v>0</v>
      </c>
    </row>
    <row r="12" spans="1:5" ht="16.5" customHeight="1" x14ac:dyDescent="0.35">
      <c r="A12" s="8" t="s">
        <v>104</v>
      </c>
      <c r="B12" s="29">
        <v>0</v>
      </c>
      <c r="C12" s="29">
        <v>0</v>
      </c>
      <c r="D12" s="29">
        <v>0</v>
      </c>
      <c r="E12" s="33">
        <f>SUM(B12:D12)</f>
        <v>0</v>
      </c>
    </row>
    <row r="13" spans="1:5" ht="19.5" customHeight="1" x14ac:dyDescent="0.35">
      <c r="A13" s="30" t="s">
        <v>75</v>
      </c>
      <c r="B13" s="25">
        <f>SUM(B10:B12)</f>
        <v>0</v>
      </c>
      <c r="C13" s="25">
        <f>SUM(C10:C12)</f>
        <v>0</v>
      </c>
      <c r="D13" s="25">
        <f>SUM(D10:D12)</f>
        <v>0</v>
      </c>
      <c r="E13" s="25">
        <f>SUM(E10:E12)</f>
        <v>0</v>
      </c>
    </row>
    <row r="15" spans="1:5" ht="21.75" customHeight="1" x14ac:dyDescent="0.35">
      <c r="A15" s="10" t="s">
        <v>105</v>
      </c>
      <c r="B15" s="10"/>
      <c r="C15" s="10"/>
      <c r="D15" s="10"/>
      <c r="E15" s="10"/>
    </row>
    <row r="16" spans="1:5" ht="16.5" customHeight="1" x14ac:dyDescent="0.35">
      <c r="A16" s="8" t="s">
        <v>106</v>
      </c>
      <c r="B16" s="21">
        <f>B10*0.15</f>
        <v>0</v>
      </c>
      <c r="C16" s="21">
        <f>C10*0.15</f>
        <v>0</v>
      </c>
      <c r="D16" s="21">
        <f>D10*0.15</f>
        <v>0</v>
      </c>
      <c r="E16" s="21">
        <f>SUM(B16:D16)</f>
        <v>0</v>
      </c>
    </row>
    <row r="17" spans="1:5" ht="16.5" customHeight="1" x14ac:dyDescent="0.35">
      <c r="A17" s="8" t="s">
        <v>107</v>
      </c>
      <c r="B17" s="13">
        <v>0</v>
      </c>
      <c r="C17" s="13">
        <v>0</v>
      </c>
      <c r="D17" s="13">
        <v>0</v>
      </c>
      <c r="E17" s="21">
        <f>SUM(B17:D17)</f>
        <v>0</v>
      </c>
    </row>
    <row r="18" spans="1:5" ht="24" customHeight="1" x14ac:dyDescent="0.35">
      <c r="A18" s="31" t="s">
        <v>108</v>
      </c>
      <c r="B18" s="31"/>
      <c r="C18" s="31"/>
      <c r="D18" s="31"/>
      <c r="E18" s="25">
        <f>E16-E17</f>
        <v>0</v>
      </c>
    </row>
    <row r="20" spans="1:5" ht="21.75" customHeight="1" x14ac:dyDescent="0.35">
      <c r="A20" s="10" t="s">
        <v>109</v>
      </c>
      <c r="B20" s="10"/>
      <c r="C20" s="10"/>
      <c r="D20" s="10"/>
      <c r="E20" s="10"/>
    </row>
    <row r="21" spans="1:5" ht="19.5" customHeight="1" x14ac:dyDescent="0.35">
      <c r="A21" s="11" t="s">
        <v>110</v>
      </c>
      <c r="B21" s="11" t="s">
        <v>111</v>
      </c>
      <c r="C21" s="12" t="s">
        <v>112</v>
      </c>
      <c r="D21" s="12"/>
      <c r="E21" s="12"/>
    </row>
    <row r="22" spans="1:5" ht="16.5" customHeight="1" x14ac:dyDescent="0.35">
      <c r="A22" s="8" t="s">
        <v>113</v>
      </c>
      <c r="B22" s="15" t="s">
        <v>114</v>
      </c>
      <c r="C22" s="32" t="s">
        <v>115</v>
      </c>
      <c r="D22" s="32"/>
      <c r="E22" s="32"/>
    </row>
    <row r="23" spans="1:5" ht="16.5" customHeight="1" x14ac:dyDescent="0.35">
      <c r="A23" s="8" t="s">
        <v>116</v>
      </c>
      <c r="B23" s="15" t="s">
        <v>117</v>
      </c>
      <c r="C23" s="32" t="s">
        <v>115</v>
      </c>
      <c r="D23" s="32"/>
      <c r="E23" s="32"/>
    </row>
    <row r="24" spans="1:5" ht="16.5" customHeight="1" x14ac:dyDescent="0.35">
      <c r="A24" s="8" t="s">
        <v>118</v>
      </c>
      <c r="B24" s="15" t="s">
        <v>119</v>
      </c>
      <c r="C24" s="32" t="s">
        <v>115</v>
      </c>
      <c r="D24" s="32"/>
      <c r="E24" s="32"/>
    </row>
    <row r="25" spans="1:5" ht="16.5" customHeight="1" x14ac:dyDescent="0.35">
      <c r="A25" s="8" t="s">
        <v>120</v>
      </c>
      <c r="B25" s="15" t="s">
        <v>121</v>
      </c>
      <c r="C25" s="32" t="s">
        <v>115</v>
      </c>
      <c r="D25" s="32"/>
      <c r="E25" s="32"/>
    </row>
    <row r="27" spans="1:5" x14ac:dyDescent="0.35">
      <c r="A27" s="16" t="s">
        <v>48</v>
      </c>
    </row>
    <row r="28" spans="1:5" ht="12.75" customHeight="1" x14ac:dyDescent="0.35">
      <c r="A28" s="17" t="s">
        <v>49</v>
      </c>
    </row>
    <row r="29" spans="1:5" ht="12.75" customHeight="1" x14ac:dyDescent="0.35">
      <c r="A29" s="18" t="s">
        <v>50</v>
      </c>
    </row>
    <row r="30" spans="1:5" ht="12.75" customHeight="1" x14ac:dyDescent="0.35">
      <c r="A30" s="19" t="s">
        <v>51</v>
      </c>
    </row>
    <row r="31" spans="1:5" ht="12.75" customHeight="1" x14ac:dyDescent="0.35">
      <c r="A31" s="20" t="s">
        <v>52</v>
      </c>
    </row>
  </sheetData>
  <sheetProtection algorithmName="SHA-512" hashValue="aV1ymKG5SZaAetH3OWwtLioaH2arnbbXI5zgeJH8LMieeAdVOgie6zkC5SG37VsejSLZgrGwgwrIiYVbBy1HZw==" saltValue="DEscGhb1NlVEzndZc3txdg==" spinCount="100000" sheet="1" objects="1" scenarios="1"/>
  <mergeCells count="11">
    <mergeCell ref="C25:E25"/>
    <mergeCell ref="A20:E20"/>
    <mergeCell ref="C21:E21"/>
    <mergeCell ref="C22:E22"/>
    <mergeCell ref="C23:E23"/>
    <mergeCell ref="C24:E24"/>
    <mergeCell ref="A1:E1"/>
    <mergeCell ref="A2:E2"/>
    <mergeCell ref="A8:E8"/>
    <mergeCell ref="A15:E15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rightToLeft="1" topLeftCell="A11" zoomScaleNormal="100" workbookViewId="0">
      <selection activeCell="D27" sqref="D27"/>
    </sheetView>
  </sheetViews>
  <sheetFormatPr defaultColWidth="8.6328125" defaultRowHeight="14.5" x14ac:dyDescent="0.35"/>
  <cols>
    <col min="1" max="1" width="30" style="7" customWidth="1"/>
    <col min="2" max="2" width="18" style="7" customWidth="1"/>
    <col min="3" max="3" width="14" style="7" customWidth="1"/>
    <col min="4" max="4" width="18" style="7" customWidth="1"/>
    <col min="5" max="5" width="10" style="7" customWidth="1"/>
    <col min="6" max="16384" width="8.6328125" style="7"/>
  </cols>
  <sheetData>
    <row r="1" spans="1:5" ht="27.75" customHeight="1" x14ac:dyDescent="0.35">
      <c r="A1" s="6" t="s">
        <v>122</v>
      </c>
      <c r="B1" s="6"/>
      <c r="C1" s="6"/>
      <c r="D1" s="6"/>
      <c r="E1" s="6"/>
    </row>
    <row r="2" spans="1:5" ht="15" customHeight="1" x14ac:dyDescent="0.35">
      <c r="A2" s="26" t="s">
        <v>123</v>
      </c>
      <c r="B2" s="26"/>
      <c r="C2" s="26"/>
      <c r="D2" s="26"/>
      <c r="E2" s="26"/>
    </row>
    <row r="4" spans="1:5" ht="21.75" customHeight="1" x14ac:dyDescent="0.35">
      <c r="A4" s="10" t="s">
        <v>124</v>
      </c>
      <c r="B4" s="10"/>
      <c r="C4" s="10"/>
      <c r="D4" s="10"/>
      <c r="E4" s="10"/>
    </row>
    <row r="5" spans="1:5" ht="19.5" customHeight="1" x14ac:dyDescent="0.35">
      <c r="A5" s="11" t="s">
        <v>125</v>
      </c>
      <c r="B5" s="11" t="s">
        <v>126</v>
      </c>
      <c r="C5" s="11" t="s">
        <v>127</v>
      </c>
      <c r="D5" s="12" t="s">
        <v>128</v>
      </c>
      <c r="E5" s="12"/>
    </row>
    <row r="6" spans="1:5" ht="16.5" customHeight="1" x14ac:dyDescent="0.35">
      <c r="A6" s="8" t="s">
        <v>129</v>
      </c>
      <c r="B6" s="29">
        <v>50000</v>
      </c>
      <c r="C6" s="34" t="s">
        <v>81</v>
      </c>
      <c r="D6" s="35" t="s">
        <v>130</v>
      </c>
      <c r="E6" s="35"/>
    </row>
    <row r="7" spans="1:5" ht="16.5" customHeight="1" x14ac:dyDescent="0.35">
      <c r="A7" s="8" t="s">
        <v>131</v>
      </c>
      <c r="B7" s="29">
        <v>80000</v>
      </c>
      <c r="C7" s="34" t="s">
        <v>81</v>
      </c>
      <c r="D7" s="35" t="s">
        <v>132</v>
      </c>
      <c r="E7" s="35"/>
    </row>
    <row r="8" spans="1:5" ht="16.5" customHeight="1" x14ac:dyDescent="0.35">
      <c r="A8" s="8" t="s">
        <v>133</v>
      </c>
      <c r="B8" s="29">
        <v>120000</v>
      </c>
      <c r="C8" s="34" t="s">
        <v>81</v>
      </c>
      <c r="D8" s="35" t="s">
        <v>134</v>
      </c>
      <c r="E8" s="35"/>
    </row>
    <row r="9" spans="1:5" ht="16.5" customHeight="1" x14ac:dyDescent="0.35">
      <c r="A9" s="8" t="s">
        <v>135</v>
      </c>
      <c r="B9" s="29">
        <v>30000</v>
      </c>
      <c r="C9" s="34" t="s">
        <v>81</v>
      </c>
      <c r="D9" s="35"/>
      <c r="E9" s="35"/>
    </row>
    <row r="10" spans="1:5" ht="16.5" customHeight="1" x14ac:dyDescent="0.35">
      <c r="A10" s="8" t="s">
        <v>136</v>
      </c>
      <c r="B10" s="29">
        <v>200000</v>
      </c>
      <c r="C10" s="36" t="s">
        <v>137</v>
      </c>
      <c r="D10" s="35" t="s">
        <v>138</v>
      </c>
      <c r="E10" s="35"/>
    </row>
    <row r="11" spans="1:5" ht="16.5" customHeight="1" x14ac:dyDescent="0.35">
      <c r="A11" s="8" t="s">
        <v>139</v>
      </c>
      <c r="B11" s="29">
        <v>10000</v>
      </c>
      <c r="C11" s="36" t="s">
        <v>137</v>
      </c>
      <c r="D11" s="35"/>
      <c r="E11" s="35"/>
    </row>
    <row r="13" spans="1:5" ht="21.75" customHeight="1" x14ac:dyDescent="0.35">
      <c r="A13" s="10" t="s">
        <v>140</v>
      </c>
      <c r="B13" s="10"/>
      <c r="C13" s="10"/>
      <c r="D13" s="10"/>
      <c r="E13" s="10"/>
    </row>
    <row r="14" spans="1:5" ht="19.5" customHeight="1" x14ac:dyDescent="0.35">
      <c r="A14" s="11" t="s">
        <v>141</v>
      </c>
      <c r="B14" s="11" t="s">
        <v>126</v>
      </c>
      <c r="C14" s="11" t="s">
        <v>79</v>
      </c>
      <c r="D14" s="12" t="s">
        <v>128</v>
      </c>
      <c r="E14" s="12"/>
    </row>
    <row r="15" spans="1:5" ht="16.5" customHeight="1" x14ac:dyDescent="0.35">
      <c r="A15" s="8" t="s">
        <v>142</v>
      </c>
      <c r="B15" s="29">
        <v>40000</v>
      </c>
      <c r="C15" s="34" t="s">
        <v>81</v>
      </c>
      <c r="D15" s="35"/>
      <c r="E15" s="35"/>
    </row>
    <row r="16" spans="1:5" ht="16.5" customHeight="1" x14ac:dyDescent="0.35">
      <c r="A16" s="8" t="s">
        <v>143</v>
      </c>
      <c r="B16" s="29">
        <v>25000</v>
      </c>
      <c r="C16" s="34" t="s">
        <v>81</v>
      </c>
      <c r="D16" s="35"/>
      <c r="E16" s="35"/>
    </row>
    <row r="17" spans="1:5" ht="16.5" customHeight="1" x14ac:dyDescent="0.35">
      <c r="A17" s="8" t="s">
        <v>144</v>
      </c>
      <c r="B17" s="29">
        <v>8000</v>
      </c>
      <c r="C17" s="34" t="s">
        <v>81</v>
      </c>
      <c r="D17" s="35"/>
      <c r="E17" s="35"/>
    </row>
    <row r="18" spans="1:5" ht="16.5" customHeight="1" x14ac:dyDescent="0.35">
      <c r="A18" s="8" t="s">
        <v>145</v>
      </c>
      <c r="B18" s="29">
        <v>150000</v>
      </c>
      <c r="C18" s="36" t="s">
        <v>137</v>
      </c>
      <c r="D18" s="35" t="s">
        <v>146</v>
      </c>
      <c r="E18" s="35"/>
    </row>
    <row r="20" spans="1:5" ht="21.75" customHeight="1" x14ac:dyDescent="0.35">
      <c r="A20" s="14" t="s">
        <v>147</v>
      </c>
      <c r="B20" s="14"/>
      <c r="C20" s="14"/>
      <c r="D20" s="14"/>
      <c r="E20" s="14"/>
    </row>
    <row r="21" spans="1:5" ht="18" customHeight="1" x14ac:dyDescent="0.35">
      <c r="A21" s="27" t="s">
        <v>148</v>
      </c>
      <c r="B21" s="33">
        <f>SUMIF(C6:C11,"نعم",B6:B11)</f>
        <v>280000</v>
      </c>
    </row>
    <row r="22" spans="1:5" ht="18" customHeight="1" x14ac:dyDescent="0.35">
      <c r="A22" s="27" t="s">
        <v>149</v>
      </c>
      <c r="B22" s="33">
        <f>SUMIF(C15:C18,"نعم",B15:B18)</f>
        <v>73000</v>
      </c>
    </row>
    <row r="23" spans="1:5" ht="18" customHeight="1" x14ac:dyDescent="0.35">
      <c r="A23" s="27" t="s">
        <v>150</v>
      </c>
      <c r="B23" s="33">
        <f>B21-B22</f>
        <v>207000</v>
      </c>
    </row>
    <row r="24" spans="1:5" ht="18" customHeight="1" x14ac:dyDescent="0.35">
      <c r="A24" s="27" t="s">
        <v>151</v>
      </c>
      <c r="B24" s="9">
        <v>2.5000000000000001E-2</v>
      </c>
    </row>
    <row r="25" spans="1:5" ht="18" customHeight="1" x14ac:dyDescent="0.35">
      <c r="A25" s="27" t="s">
        <v>152</v>
      </c>
      <c r="B25" s="25">
        <f>B22*B23</f>
        <v>15111000000</v>
      </c>
    </row>
    <row r="27" spans="1:5" x14ac:dyDescent="0.35">
      <c r="A27" s="16" t="s">
        <v>48</v>
      </c>
    </row>
    <row r="28" spans="1:5" ht="12.75" customHeight="1" x14ac:dyDescent="0.35">
      <c r="A28" s="17" t="s">
        <v>49</v>
      </c>
    </row>
    <row r="29" spans="1:5" ht="12.75" customHeight="1" x14ac:dyDescent="0.35">
      <c r="A29" s="18" t="s">
        <v>50</v>
      </c>
    </row>
    <row r="30" spans="1:5" ht="12.75" customHeight="1" x14ac:dyDescent="0.35">
      <c r="A30" s="19" t="s">
        <v>51</v>
      </c>
    </row>
    <row r="31" spans="1:5" ht="12.75" customHeight="1" x14ac:dyDescent="0.35">
      <c r="A31" s="20" t="s">
        <v>52</v>
      </c>
    </row>
  </sheetData>
  <sheetProtection algorithmName="SHA-512" hashValue="RzlEZebiTmobi3ZqmEh1TQOTUh2SHotyPEFOlwW9l6/o8dxsI/ysHjHHIH7GBpHBLFfwj8MaRnkhJ8JQtvSu9g==" saltValue="sMmczj8K0Qg1aJPhXO3+CQ==" spinCount="100000" sheet="1" objects="1" scenarios="1"/>
  <mergeCells count="17">
    <mergeCell ref="D18:E18"/>
    <mergeCell ref="A20:E20"/>
    <mergeCell ref="A13:E13"/>
    <mergeCell ref="D14:E14"/>
    <mergeCell ref="D15:E15"/>
    <mergeCell ref="D16:E16"/>
    <mergeCell ref="D17:E17"/>
    <mergeCell ref="D7:E7"/>
    <mergeCell ref="D8:E8"/>
    <mergeCell ref="D9:E9"/>
    <mergeCell ref="D10:E10"/>
    <mergeCell ref="D11:E11"/>
    <mergeCell ref="A1:E1"/>
    <mergeCell ref="A2:E2"/>
    <mergeCell ref="A4:E4"/>
    <mergeCell ref="D5:E5"/>
    <mergeCell ref="D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rightToLeft="1" zoomScaleNormal="100" workbookViewId="0">
      <selection activeCell="E5" sqref="E5"/>
    </sheetView>
  </sheetViews>
  <sheetFormatPr defaultColWidth="8.6328125" defaultRowHeight="14.5" x14ac:dyDescent="0.35"/>
  <cols>
    <col min="1" max="1" width="30" style="7" customWidth="1"/>
    <col min="2" max="2" width="12" style="7" customWidth="1"/>
    <col min="3" max="3" width="22" style="7" customWidth="1"/>
    <col min="4" max="4" width="24" style="7" customWidth="1"/>
    <col min="5" max="5" width="18" style="7" customWidth="1"/>
    <col min="6" max="6" width="12" style="7" customWidth="1"/>
    <col min="7" max="16384" width="8.6328125" style="7"/>
  </cols>
  <sheetData>
    <row r="1" spans="1:6" ht="27.75" customHeight="1" x14ac:dyDescent="0.35">
      <c r="A1" s="6" t="s">
        <v>153</v>
      </c>
      <c r="B1" s="6"/>
      <c r="C1" s="6"/>
      <c r="D1" s="6"/>
      <c r="E1" s="6"/>
      <c r="F1" s="6"/>
    </row>
    <row r="2" spans="1:6" ht="18" customHeight="1" x14ac:dyDescent="0.35">
      <c r="A2" s="37" t="s">
        <v>154</v>
      </c>
      <c r="B2" s="37"/>
      <c r="C2" s="37"/>
      <c r="D2" s="37"/>
      <c r="E2" s="37"/>
      <c r="F2" s="37"/>
    </row>
    <row r="4" spans="1:6" ht="19.5" customHeight="1" x14ac:dyDescent="0.35">
      <c r="A4" s="11" t="s">
        <v>155</v>
      </c>
      <c r="B4" s="11" t="s">
        <v>156</v>
      </c>
      <c r="C4" s="11" t="s">
        <v>157</v>
      </c>
      <c r="D4" s="11" t="s">
        <v>158</v>
      </c>
      <c r="E4" s="11" t="s">
        <v>159</v>
      </c>
      <c r="F4" s="11" t="s">
        <v>160</v>
      </c>
    </row>
    <row r="5" spans="1:6" ht="16.5" customHeight="1" x14ac:dyDescent="0.35">
      <c r="A5" s="15" t="s">
        <v>161</v>
      </c>
      <c r="B5" s="36" t="s">
        <v>162</v>
      </c>
      <c r="C5" s="8" t="s">
        <v>163</v>
      </c>
      <c r="D5" s="38" t="s">
        <v>164</v>
      </c>
      <c r="E5" s="39" t="s">
        <v>165</v>
      </c>
      <c r="F5" s="22" t="s">
        <v>166</v>
      </c>
    </row>
    <row r="6" spans="1:6" ht="16.5" customHeight="1" x14ac:dyDescent="0.35">
      <c r="A6" s="8" t="s">
        <v>167</v>
      </c>
      <c r="B6" s="36" t="s">
        <v>162</v>
      </c>
      <c r="C6" s="8" t="s">
        <v>163</v>
      </c>
      <c r="D6" s="38" t="s">
        <v>168</v>
      </c>
      <c r="E6" s="39" t="s">
        <v>165</v>
      </c>
      <c r="F6" s="22" t="s">
        <v>166</v>
      </c>
    </row>
    <row r="7" spans="1:6" ht="16.5" customHeight="1" x14ac:dyDescent="0.35">
      <c r="A7" s="15" t="s">
        <v>169</v>
      </c>
      <c r="B7" s="36" t="s">
        <v>170</v>
      </c>
      <c r="C7" s="8" t="s">
        <v>171</v>
      </c>
      <c r="D7" s="38" t="s">
        <v>172</v>
      </c>
      <c r="E7" s="39" t="s">
        <v>165</v>
      </c>
      <c r="F7" s="22" t="s">
        <v>166</v>
      </c>
    </row>
    <row r="8" spans="1:6" ht="16.5" customHeight="1" x14ac:dyDescent="0.35">
      <c r="A8" s="8" t="s">
        <v>173</v>
      </c>
      <c r="B8" s="36" t="s">
        <v>170</v>
      </c>
      <c r="C8" s="8" t="s">
        <v>174</v>
      </c>
      <c r="D8" s="38" t="s">
        <v>175</v>
      </c>
      <c r="E8" s="39" t="s">
        <v>165</v>
      </c>
      <c r="F8" s="22" t="s">
        <v>166</v>
      </c>
    </row>
    <row r="9" spans="1:6" ht="16.5" customHeight="1" x14ac:dyDescent="0.35">
      <c r="A9" s="15" t="s">
        <v>176</v>
      </c>
      <c r="B9" s="36" t="s">
        <v>170</v>
      </c>
      <c r="C9" s="8" t="s">
        <v>177</v>
      </c>
      <c r="D9" s="38" t="s">
        <v>178</v>
      </c>
      <c r="E9" s="39" t="s">
        <v>179</v>
      </c>
      <c r="F9" s="22" t="s">
        <v>166</v>
      </c>
    </row>
    <row r="10" spans="1:6" ht="16.5" customHeight="1" x14ac:dyDescent="0.35">
      <c r="A10" s="8" t="s">
        <v>180</v>
      </c>
      <c r="B10" s="36" t="s">
        <v>170</v>
      </c>
      <c r="C10" s="8" t="s">
        <v>181</v>
      </c>
      <c r="D10" s="38" t="s">
        <v>182</v>
      </c>
      <c r="E10" s="39" t="s">
        <v>165</v>
      </c>
      <c r="F10" s="22" t="s">
        <v>166</v>
      </c>
    </row>
    <row r="11" spans="1:6" ht="16.5" customHeight="1" x14ac:dyDescent="0.35">
      <c r="A11" s="15" t="s">
        <v>183</v>
      </c>
      <c r="B11" s="36" t="s">
        <v>184</v>
      </c>
      <c r="C11" s="8" t="s">
        <v>185</v>
      </c>
      <c r="D11" s="38" t="s">
        <v>186</v>
      </c>
      <c r="E11" s="39" t="s">
        <v>187</v>
      </c>
      <c r="F11" s="22" t="s">
        <v>166</v>
      </c>
    </row>
    <row r="12" spans="1:6" ht="16.5" customHeight="1" x14ac:dyDescent="0.35">
      <c r="A12" s="8" t="s">
        <v>188</v>
      </c>
      <c r="B12" s="36" t="s">
        <v>189</v>
      </c>
      <c r="C12" s="8" t="s">
        <v>190</v>
      </c>
      <c r="D12" s="38" t="s">
        <v>191</v>
      </c>
      <c r="E12" s="39" t="s">
        <v>192</v>
      </c>
      <c r="F12" s="22" t="s">
        <v>166</v>
      </c>
    </row>
    <row r="13" spans="1:6" ht="16.5" customHeight="1" x14ac:dyDescent="0.35">
      <c r="A13" s="15" t="s">
        <v>193</v>
      </c>
      <c r="B13" s="36" t="s">
        <v>170</v>
      </c>
      <c r="C13" s="8" t="s">
        <v>177</v>
      </c>
      <c r="D13" s="38" t="s">
        <v>178</v>
      </c>
      <c r="E13" s="39" t="s">
        <v>194</v>
      </c>
      <c r="F13" s="22" t="s">
        <v>166</v>
      </c>
    </row>
    <row r="14" spans="1:6" ht="16.5" customHeight="1" x14ac:dyDescent="0.35">
      <c r="A14" s="8" t="s">
        <v>195</v>
      </c>
      <c r="B14" s="36" t="s">
        <v>170</v>
      </c>
      <c r="C14" s="8" t="s">
        <v>196</v>
      </c>
      <c r="D14" s="38" t="s">
        <v>197</v>
      </c>
      <c r="E14" s="39" t="s">
        <v>165</v>
      </c>
      <c r="F14" s="22" t="s">
        <v>166</v>
      </c>
    </row>
    <row r="16" spans="1:6" x14ac:dyDescent="0.35">
      <c r="A16" s="16" t="s">
        <v>48</v>
      </c>
    </row>
    <row r="17" spans="1:1" ht="12.75" customHeight="1" x14ac:dyDescent="0.35">
      <c r="A17" s="17" t="s">
        <v>49</v>
      </c>
    </row>
    <row r="18" spans="1:1" ht="12.75" customHeight="1" x14ac:dyDescent="0.35">
      <c r="A18" s="18" t="s">
        <v>50</v>
      </c>
    </row>
    <row r="19" spans="1:1" ht="12.75" customHeight="1" x14ac:dyDescent="0.35">
      <c r="A19" s="19" t="s">
        <v>51</v>
      </c>
    </row>
    <row r="20" spans="1:1" ht="12.75" customHeight="1" x14ac:dyDescent="0.35">
      <c r="A20" s="20" t="s">
        <v>52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الغلاف</vt:lpstr>
      <vt:lpstr>حاسبة VAT</vt:lpstr>
      <vt:lpstr>سجل الفواتير</vt:lpstr>
      <vt:lpstr>الإقرار الضريبي الربعي</vt:lpstr>
      <vt:lpstr>زكاة الشركات والأعمال</vt:lpstr>
      <vt:lpstr>مواعيد الامتثال الضريبي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0</cp:revision>
  <dcterms:created xsi:type="dcterms:W3CDTF">2026-06-10T01:20:20Z</dcterms:created>
  <dcterms:modified xsi:type="dcterms:W3CDTF">2026-06-11T18:24:51Z</dcterms:modified>
  <dc:language>en-US</dc:language>
</cp:coreProperties>
</file>