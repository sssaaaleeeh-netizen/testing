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13_ncr:1_{6B15BF01-5E36-4FFA-98BF-60112448B1B5}" xr6:coauthVersionLast="47" xr6:coauthVersionMax="47" xr10:uidLastSave="{00000000-0000-0000-0000-000000000000}"/>
  <bookViews>
    <workbookView xWindow="-110" yWindow="-110" windowWidth="19420" windowHeight="10300" tabRatio="500" firstSheet="2" activeTab="3" xr2:uid="{00000000-000D-0000-FFFF-FFFF00000000}"/>
  </bookViews>
  <sheets>
    <sheet name="الغلاف" sheetId="1" r:id="rId1"/>
    <sheet name="تسعير قائمة الطعام" sheetId="2" r:id="rId2"/>
    <sheet name="تكلفة الوصفات" sheetId="3" r:id="rId3"/>
    <sheet name="المبيعات اليومية" sheetId="4" r:id="rId4"/>
    <sheet name="نقطة التعادل" sheetId="5" r:id="rId5"/>
    <sheet name="جدول الوردية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0" i="6" l="1"/>
  <c r="H10" i="6"/>
  <c r="G10" i="6"/>
  <c r="F10" i="6"/>
  <c r="E10" i="6"/>
  <c r="D10" i="6"/>
  <c r="C10" i="6"/>
  <c r="J9" i="6"/>
  <c r="J10" i="6" s="1"/>
  <c r="B14" i="6" s="1"/>
  <c r="B15" i="6" s="1"/>
  <c r="B16" i="6" s="1"/>
  <c r="J8" i="6"/>
  <c r="J7" i="6"/>
  <c r="J6" i="6"/>
  <c r="J5" i="6"/>
  <c r="J4" i="6"/>
  <c r="E26" i="5"/>
  <c r="D26" i="5"/>
  <c r="B16" i="5"/>
  <c r="B11" i="5"/>
  <c r="B28" i="5" s="1"/>
  <c r="G11" i="4"/>
  <c r="F11" i="4"/>
  <c r="D11" i="4"/>
  <c r="C11" i="4"/>
  <c r="E11" i="4" s="1"/>
  <c r="G10" i="4"/>
  <c r="E10" i="4"/>
  <c r="G9" i="4"/>
  <c r="E9" i="4"/>
  <c r="G8" i="4"/>
  <c r="E8" i="4"/>
  <c r="G7" i="4"/>
  <c r="E7" i="4"/>
  <c r="G6" i="4"/>
  <c r="E6" i="4"/>
  <c r="G5" i="4"/>
  <c r="E5" i="4"/>
  <c r="G4" i="4"/>
  <c r="E4" i="4"/>
  <c r="F13" i="3"/>
  <c r="E13" i="3"/>
  <c r="E12" i="3"/>
  <c r="F11" i="3"/>
  <c r="E11" i="3"/>
  <c r="E10" i="3"/>
  <c r="F9" i="3"/>
  <c r="E9" i="3"/>
  <c r="E8" i="3"/>
  <c r="F7" i="3"/>
  <c r="E7" i="3"/>
  <c r="E6" i="3"/>
  <c r="F12" i="3" s="1"/>
  <c r="B21" i="2"/>
  <c r="H17" i="2"/>
  <c r="G17" i="2"/>
  <c r="I16" i="2"/>
  <c r="H16" i="2"/>
  <c r="F16" i="2"/>
  <c r="H15" i="2"/>
  <c r="F15" i="2"/>
  <c r="I15" i="2" s="1"/>
  <c r="H14" i="2"/>
  <c r="F14" i="2"/>
  <c r="I14" i="2" s="1"/>
  <c r="H13" i="2"/>
  <c r="F13" i="2"/>
  <c r="I13" i="2" s="1"/>
  <c r="H12" i="2"/>
  <c r="F12" i="2"/>
  <c r="I12" i="2" s="1"/>
  <c r="I11" i="2"/>
  <c r="H11" i="2"/>
  <c r="F11" i="2"/>
  <c r="H10" i="2"/>
  <c r="F10" i="2"/>
  <c r="I10" i="2" s="1"/>
  <c r="H9" i="2"/>
  <c r="F9" i="2"/>
  <c r="I9" i="2" s="1"/>
  <c r="I8" i="2"/>
  <c r="H8" i="2"/>
  <c r="F8" i="2"/>
  <c r="H7" i="2"/>
  <c r="F7" i="2"/>
  <c r="I7" i="2" s="1"/>
  <c r="H6" i="2"/>
  <c r="F6" i="2"/>
  <c r="I6" i="2" s="1"/>
  <c r="H5" i="2"/>
  <c r="F5" i="2"/>
  <c r="I5" i="2" s="1"/>
  <c r="H4" i="2"/>
  <c r="F4" i="2"/>
  <c r="I4" i="2" s="1"/>
  <c r="I17" i="2" s="1"/>
  <c r="D27" i="5" l="1"/>
  <c r="C28" i="5"/>
  <c r="C26" i="5"/>
  <c r="F6" i="3"/>
  <c r="F10" i="3"/>
  <c r="E14" i="3"/>
  <c r="B17" i="3" s="1"/>
  <c r="B19" i="5"/>
  <c r="B20" i="5" s="1"/>
  <c r="B21" i="5" s="1"/>
  <c r="B27" i="5"/>
  <c r="C27" i="5" s="1"/>
  <c r="E27" i="5" s="1"/>
  <c r="B29" i="5"/>
  <c r="D29" i="5"/>
  <c r="F8" i="3"/>
  <c r="B22" i="5"/>
  <c r="B26" i="5"/>
  <c r="B23" i="3" l="1"/>
  <c r="B20" i="3"/>
  <c r="B22" i="3" s="1"/>
  <c r="E28" i="5"/>
  <c r="C29" i="5"/>
  <c r="E29" i="5" s="1"/>
  <c r="D28" i="5"/>
</calcChain>
</file>

<file path=xl/sharedStrings.xml><?xml version="1.0" encoding="utf-8"?>
<sst xmlns="http://schemas.openxmlformats.org/spreadsheetml/2006/main" count="179" uniqueCount="138">
  <si>
    <t>أدوات تخطيط وإدارة المطعم والمقهى</t>
  </si>
  <si>
    <t>تحكم في تكاليفك · سعّر قائمتك بذكاء · راقب أداءك يومياً</t>
  </si>
  <si>
    <t>🍽️ تسعير المنيو</t>
  </si>
  <si>
    <t>📊 تحليل التكاليف</t>
  </si>
  <si>
    <t>👨‍🍳 إدارة الوصفات</t>
  </si>
  <si>
    <t>هامش ربح كل طبق</t>
  </si>
  <si>
    <t>Food Cost بدقة</t>
  </si>
  <si>
    <t>تكلفة المكونات</t>
  </si>
  <si>
    <t>📅 الجدولة والوردية</t>
  </si>
  <si>
    <t>💰 نقطة التعادل</t>
  </si>
  <si>
    <t>📈 لوحة الأداء</t>
  </si>
  <si>
    <t>تنظيم الموظفين</t>
  </si>
  <si>
    <t>كم طلباً يومياً؟</t>
  </si>
  <si>
    <t>مبيعات يومية وشهرية</t>
  </si>
  <si>
    <t>تسعير قائمة الطعام – Food Cost Analysis</t>
  </si>
  <si>
    <t>معيار الصناعة: Food Cost يجب أن يكون بين 28-35% من سعر البيع</t>
  </si>
  <si>
    <t>اسم الصنف</t>
  </si>
  <si>
    <t>الفئة</t>
  </si>
  <si>
    <t>تكلفة المكونات (ريال)</t>
  </si>
  <si>
    <t>العمالة/وحدة (ريال)</t>
  </si>
  <si>
    <t>المصاريف غير المباشرة (ريال)</t>
  </si>
  <si>
    <t>إجمالي التكلفة (ريال)</t>
  </si>
  <si>
    <t>سعر البيع (ريال)</t>
  </si>
  <si>
    <t>Food Cost %</t>
  </si>
  <si>
    <t>هامش الربح (ريال)</t>
  </si>
  <si>
    <t>كابتشينو كبير</t>
  </si>
  <si>
    <t>مشروبات</t>
  </si>
  <si>
    <t>لاتيه فانيلا</t>
  </si>
  <si>
    <t>شاهي كرك</t>
  </si>
  <si>
    <t>برجر دجاج</t>
  </si>
  <si>
    <t>وجبات</t>
  </si>
  <si>
    <t>بيتزا مارغريتا</t>
  </si>
  <si>
    <t>سلطة سيزر</t>
  </si>
  <si>
    <t>سلطات</t>
  </si>
  <si>
    <t>كيكة تشيز</t>
  </si>
  <si>
    <t>حلويات</t>
  </si>
  <si>
    <t>كروسان لوز</t>
  </si>
  <si>
    <t>مخبوزات</t>
  </si>
  <si>
    <t>أحمر شاي مثلج</t>
  </si>
  <si>
    <t>ميلك شيك شوكولاتة</t>
  </si>
  <si>
    <t>متوسط المؤشرات</t>
  </si>
  <si>
    <t>حاسبة السعر المقترح</t>
  </si>
  <si>
    <t>نسبة Food Cost المستهدفة</t>
  </si>
  <si>
    <t>⭐ السعر المقترح (ريال)</t>
  </si>
  <si>
    <t>🔑 دليل الألوان:</t>
  </si>
  <si>
    <t xml:space="preserve">  خلايا الإدخال</t>
  </si>
  <si>
    <t xml:space="preserve">  خلايا محسوبة</t>
  </si>
  <si>
    <t xml:space="preserve">  نتائج رئيسية</t>
  </si>
  <si>
    <t xml:space="preserve">  تحذير/سلبي</t>
  </si>
  <si>
    <t>حاسبة تكلفة الوصفات والمكونات</t>
  </si>
  <si>
    <t>عدد الأجزاء</t>
  </si>
  <si>
    <t>المكوّن</t>
  </si>
  <si>
    <t>الكمية</t>
  </si>
  <si>
    <t>وحدة القياس</t>
  </si>
  <si>
    <t>تكلفة الوحدة (ريال)</t>
  </si>
  <si>
    <t>التكلفة الكلية (ريال)</t>
  </si>
  <si>
    <t>% من التكلفة</t>
  </si>
  <si>
    <t>حليب طازج</t>
  </si>
  <si>
    <t>مل</t>
  </si>
  <si>
    <t>قهوة إسبريسو</t>
  </si>
  <si>
    <t>جرام</t>
  </si>
  <si>
    <t>سكر</t>
  </si>
  <si>
    <t>كريمة مخفوقة</t>
  </si>
  <si>
    <t>كوب + غطاء</t>
  </si>
  <si>
    <t>قطعة</t>
  </si>
  <si>
    <t>تكلفة المكونات الكلية</t>
  </si>
  <si>
    <t>التكلفة الكاملة للصنف</t>
  </si>
  <si>
    <t>تكلفة العمالة المباشرة (ريال)</t>
  </si>
  <si>
    <t>حصة المصاريف غير المباشرة (ريال)</t>
  </si>
  <si>
    <t>إجمالي التكلفة الكاملة (ريال)</t>
  </si>
  <si>
    <t>سعر البيع الحالي (ريال)</t>
  </si>
  <si>
    <t>سجل المبيعات اليومي والأداء التشغيلي</t>
  </si>
  <si>
    <t>اليوم</t>
  </si>
  <si>
    <t>التاريخ</t>
  </si>
  <si>
    <t>عدد الطلبات</t>
  </si>
  <si>
    <t>إجمالي المبيعات (ريال)</t>
  </si>
  <si>
    <t>متوسط الطلب (ريال)</t>
  </si>
  <si>
    <t>تكلفة الغذاء (ريال)</t>
  </si>
  <si>
    <t>ملاحظات</t>
  </si>
  <si>
    <t>الأحد</t>
  </si>
  <si>
    <t>الاثنين</t>
  </si>
  <si>
    <t>الثلاثاء</t>
  </si>
  <si>
    <t>الأربعاء</t>
  </si>
  <si>
    <t>الخميس</t>
  </si>
  <si>
    <t>الجمعة</t>
  </si>
  <si>
    <t>السبت</t>
  </si>
  <si>
    <t>إجمالي الأسبوع</t>
  </si>
  <si>
    <t>نقطة التعادل للمطعم أو المقهى</t>
  </si>
  <si>
    <t>التكاليف الثابتة الشهرية</t>
  </si>
  <si>
    <t>الإيجار</t>
  </si>
  <si>
    <t>الرواتب الثابتة</t>
  </si>
  <si>
    <t>الكهرباء والمياه</t>
  </si>
  <si>
    <t>الإنترنت والهاتف</t>
  </si>
  <si>
    <t>الاشتراكات والتراخيص</t>
  </si>
  <si>
    <t>الاستهلاك والصيانة</t>
  </si>
  <si>
    <t>مصاريف إدارية أخرى</t>
  </si>
  <si>
    <t>إجمالي التكاليف الثابتة الشهرية</t>
  </si>
  <si>
    <t>افتراضات الإيراد</t>
  </si>
  <si>
    <t>متوسط قيمة الطلب الواحد (ريال)</t>
  </si>
  <si>
    <t>نسبة Food Cost المستهدفة %</t>
  </si>
  <si>
    <t>هامش المساهمة لكل طلب (ريال)</t>
  </si>
  <si>
    <t>⭐ نقطة التعادل</t>
  </si>
  <si>
    <t>عدد الطلبات اليومية للتعادل</t>
  </si>
  <si>
    <t>الإيراد اليومي للتعادل (ريال)</t>
  </si>
  <si>
    <t>الإيراد الشهري للتعادل (ريال)</t>
  </si>
  <si>
    <t>أيام العمل الشهرية المطلوبة</t>
  </si>
  <si>
    <t>أهداف الربحية الشهرية</t>
  </si>
  <si>
    <t>الهدف الشهري</t>
  </si>
  <si>
    <t>طلبات يومياً</t>
  </si>
  <si>
    <t>إيراد شهري (ريال)</t>
  </si>
  <si>
    <t>ربح شهري (ريال)</t>
  </si>
  <si>
    <t>هامش %</t>
  </si>
  <si>
    <t>التعادل فقط</t>
  </si>
  <si>
    <t>ربح 10,000 ريال</t>
  </si>
  <si>
    <t>ربح 20,000 ريال</t>
  </si>
  <si>
    <t>ربح 30,000 ريال</t>
  </si>
  <si>
    <t>جدول ورديات الموظفين الأسبوعي</t>
  </si>
  <si>
    <t>الموظف</t>
  </si>
  <si>
    <t>الوظيفة</t>
  </si>
  <si>
    <t>ساعات الأسبوع</t>
  </si>
  <si>
    <t>محمد السالم</t>
  </si>
  <si>
    <t>باريستا رئيسي</t>
  </si>
  <si>
    <t>نورة العمري</t>
  </si>
  <si>
    <t>باريستا</t>
  </si>
  <si>
    <t>أحمد الشريف</t>
  </si>
  <si>
    <t>كاشير</t>
  </si>
  <si>
    <t>سارة القحطاني</t>
  </si>
  <si>
    <t>خدمة العملاء</t>
  </si>
  <si>
    <t>عبدالله الحسن</t>
  </si>
  <si>
    <t>طباخ</t>
  </si>
  <si>
    <t>ريم الزهراني</t>
  </si>
  <si>
    <t>مساعد طباخ</t>
  </si>
  <si>
    <t>إجمالي ساعات اليوم</t>
  </si>
  <si>
    <t>تكلفة العمالة الأسبوعية</t>
  </si>
  <si>
    <t>متوسط أجر الساعة (ريال)</t>
  </si>
  <si>
    <t>إجمالي ساعات الأسبوع</t>
  </si>
  <si>
    <t>⭐ تكلفة العمالة الأسبوعية (ريال)</t>
  </si>
  <si>
    <t>تكلفة العمالة الشهرية التقديرية (ريال)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</si>
</sst>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#,##0.000"/>
  </numFmts>
  <fonts count="18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sz val="11"/>
      <color rgb="FFC9A84C"/>
      <name val="Arial"/>
      <charset val="1"/>
    </font>
    <font>
      <b/>
      <sz val="10"/>
      <color rgb="FFFFFFFF"/>
      <name val="Arial"/>
      <charset val="1"/>
    </font>
    <font>
      <sz val="9"/>
      <color rgb="FF1F3864"/>
      <name val="Arial"/>
      <charset val="1"/>
    </font>
    <font>
      <b/>
      <sz val="13"/>
      <color rgb="FFFFFFFF"/>
      <name val="Arial"/>
      <charset val="1"/>
    </font>
    <font>
      <i/>
      <sz val="9"/>
      <color rgb="FF2E5FA3"/>
      <name val="Arial"/>
      <charset val="1"/>
    </font>
    <font>
      <b/>
      <sz val="9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0"/>
      <color rgb="FF375623"/>
      <name val="Arial"/>
      <charset val="1"/>
    </font>
    <font>
      <b/>
      <sz val="9"/>
      <color rgb="FF1F3864"/>
      <name val="Arial"/>
      <charset val="1"/>
    </font>
    <font>
      <sz val="8"/>
      <color rgb="FF0000FF"/>
      <name val="Arial"/>
      <charset val="1"/>
    </font>
    <font>
      <sz val="8"/>
      <color rgb="FF000000"/>
      <name val="Arial"/>
      <charset val="1"/>
    </font>
    <font>
      <sz val="8"/>
      <color rgb="FF375623"/>
      <name val="Arial"/>
      <charset val="1"/>
    </font>
    <font>
      <sz val="8"/>
      <color rgb="FF7B0000"/>
      <name val="Arial"/>
      <charset val="1"/>
    </font>
    <font>
      <b/>
      <sz val="10"/>
      <color rgb="FF1F3864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9A84C"/>
        <bgColor rgb="FFFF9900"/>
      </patternFill>
    </fill>
    <fill>
      <patternFill patternType="solid">
        <fgColor rgb="FF2E5FA3"/>
        <bgColor rgb="FF3366FF"/>
      </patternFill>
    </fill>
    <fill>
      <patternFill patternType="solid">
        <fgColor rgb="FFDEEAF1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0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7" fillId="2" borderId="2" xfId="0" applyFont="1" applyFill="1" applyBorder="1" applyAlignment="1">
      <alignment horizontal="center" vertical="center" wrapText="1"/>
    </xf>
    <xf numFmtId="49" fontId="8" fillId="5" borderId="2" xfId="0" applyNumberFormat="1" applyFont="1" applyFill="1" applyBorder="1" applyAlignment="1">
      <alignment horizontal="right" vertical="center"/>
    </xf>
    <xf numFmtId="0" fontId="9" fillId="7" borderId="2" xfId="0" applyFont="1" applyFill="1" applyBorder="1" applyAlignment="1">
      <alignment horizontal="left" vertical="center" wrapText="1"/>
    </xf>
    <xf numFmtId="4" fontId="11" fillId="8" borderId="3" xfId="0" applyNumberFormat="1" applyFont="1" applyFill="1" applyBorder="1" applyAlignment="1">
      <alignment horizontal="right" vertical="center"/>
    </xf>
    <xf numFmtId="0" fontId="12" fillId="0" borderId="0" xfId="0" applyFont="1"/>
    <xf numFmtId="0" fontId="13" fillId="5" borderId="2" xfId="0" applyFont="1" applyFill="1" applyBorder="1"/>
    <xf numFmtId="0" fontId="14" fillId="6" borderId="2" xfId="0" applyFont="1" applyFill="1" applyBorder="1"/>
    <xf numFmtId="0" fontId="15" fillId="8" borderId="2" xfId="0" applyFont="1" applyFill="1" applyBorder="1"/>
    <xf numFmtId="0" fontId="16" fillId="9" borderId="2" xfId="0" applyFont="1" applyFill="1" applyBorder="1"/>
    <xf numFmtId="3" fontId="8" fillId="5" borderId="2" xfId="0" applyNumberFormat="1" applyFont="1" applyFill="1" applyBorder="1" applyAlignment="1">
      <alignment horizontal="right" vertical="center"/>
    </xf>
    <xf numFmtId="3" fontId="9" fillId="6" borderId="2" xfId="0" applyNumberFormat="1" applyFont="1" applyFill="1" applyBorder="1" applyAlignment="1">
      <alignment horizontal="right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1" fontId="8" fillId="8" borderId="2" xfId="0" applyNumberFormat="1" applyFont="1" applyFill="1" applyBorder="1" applyAlignment="1">
      <alignment horizontal="center" vertical="center" wrapText="1"/>
    </xf>
    <xf numFmtId="1" fontId="9" fillId="6" borderId="2" xfId="0" applyNumberFormat="1" applyFont="1" applyFill="1" applyBorder="1" applyAlignment="1">
      <alignment horizontal="right" vertical="center"/>
    </xf>
    <xf numFmtId="1" fontId="9" fillId="6" borderId="2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49" fontId="8" fillId="5" borderId="2" xfId="0" applyNumberFormat="1" applyFont="1" applyFill="1" applyBorder="1" applyAlignment="1" applyProtection="1">
      <alignment horizontal="right" vertical="center"/>
      <protection locked="0"/>
    </xf>
    <xf numFmtId="4" fontId="8" fillId="5" borderId="2" xfId="0" applyNumberFormat="1" applyFont="1" applyFill="1" applyBorder="1" applyAlignment="1" applyProtection="1">
      <alignment horizontal="right" vertical="center"/>
      <protection locked="0"/>
    </xf>
    <xf numFmtId="0" fontId="3" fillId="4" borderId="2" xfId="0" applyFont="1" applyFill="1" applyBorder="1" applyAlignment="1" applyProtection="1">
      <alignment horizontal="center" vertical="center" wrapText="1"/>
      <protection locked="0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9" fillId="7" borderId="2" xfId="0" applyFont="1" applyFill="1" applyBorder="1" applyAlignment="1" applyProtection="1">
      <alignment horizontal="left" vertical="center" wrapText="1"/>
      <protection locked="0"/>
    </xf>
    <xf numFmtId="164" fontId="8" fillId="5" borderId="2" xfId="0" applyNumberFormat="1" applyFont="1" applyFill="1" applyBorder="1" applyAlignment="1" applyProtection="1">
      <alignment horizontal="right" vertical="center"/>
      <protection locked="0"/>
    </xf>
    <xf numFmtId="0" fontId="12" fillId="0" borderId="0" xfId="0" applyFont="1" applyProtection="1">
      <protection locked="0"/>
    </xf>
    <xf numFmtId="0" fontId="13" fillId="5" borderId="2" xfId="0" applyFont="1" applyFill="1" applyBorder="1" applyProtection="1">
      <protection locked="0"/>
    </xf>
    <xf numFmtId="0" fontId="14" fillId="6" borderId="2" xfId="0" applyFont="1" applyFill="1" applyBorder="1" applyProtection="1">
      <protection locked="0"/>
    </xf>
    <xf numFmtId="0" fontId="15" fillId="8" borderId="2" xfId="0" applyFont="1" applyFill="1" applyBorder="1" applyProtection="1">
      <protection locked="0"/>
    </xf>
    <xf numFmtId="0" fontId="16" fillId="9" borderId="2" xfId="0" applyFont="1" applyFill="1" applyBorder="1" applyProtection="1">
      <protection locked="0"/>
    </xf>
    <xf numFmtId="4" fontId="9" fillId="6" borderId="2" xfId="0" applyNumberFormat="1" applyFont="1" applyFill="1" applyBorder="1" applyAlignment="1" applyProtection="1">
      <alignment horizontal="right" vertical="center"/>
      <protection locked="0" hidden="1"/>
    </xf>
    <xf numFmtId="164" fontId="9" fillId="6" borderId="2" xfId="0" applyNumberFormat="1" applyFont="1" applyFill="1" applyBorder="1" applyAlignment="1" applyProtection="1">
      <alignment horizontal="right" vertical="center"/>
      <protection locked="0" hidden="1"/>
    </xf>
    <xf numFmtId="4" fontId="11" fillId="8" borderId="3" xfId="0" applyNumberFormat="1" applyFont="1" applyFill="1" applyBorder="1" applyAlignment="1" applyProtection="1">
      <alignment horizontal="right" vertical="center"/>
      <protection locked="0" hidden="1"/>
    </xf>
    <xf numFmtId="1" fontId="8" fillId="5" borderId="2" xfId="0" applyNumberFormat="1" applyFont="1" applyFill="1" applyBorder="1" applyAlignment="1" applyProtection="1">
      <alignment horizontal="right" vertical="center"/>
      <protection locked="0"/>
    </xf>
    <xf numFmtId="165" fontId="8" fillId="5" borderId="2" xfId="0" applyNumberFormat="1" applyFont="1" applyFill="1" applyBorder="1" applyAlignment="1" applyProtection="1">
      <alignment horizontal="right" vertical="center"/>
      <protection locked="0"/>
    </xf>
    <xf numFmtId="166" fontId="8" fillId="5" borderId="2" xfId="0" applyNumberFormat="1" applyFont="1" applyFill="1" applyBorder="1" applyAlignment="1" applyProtection="1">
      <alignment horizontal="right" vertical="center"/>
      <protection locked="0"/>
    </xf>
    <xf numFmtId="0" fontId="17" fillId="5" borderId="2" xfId="0" applyFont="1" applyFill="1" applyBorder="1" applyAlignment="1" applyProtection="1">
      <alignment horizontal="left" vertical="center" wrapText="1"/>
      <protection locked="0"/>
    </xf>
    <xf numFmtId="0" fontId="0" fillId="0" borderId="0" xfId="0" applyProtection="1">
      <protection locked="0" hidden="1"/>
    </xf>
    <xf numFmtId="164" fontId="11" fillId="8" borderId="3" xfId="0" applyNumberFormat="1" applyFont="1" applyFill="1" applyBorder="1" applyAlignment="1" applyProtection="1">
      <alignment horizontal="right" vertical="center"/>
      <protection locked="0" hidden="1"/>
    </xf>
    <xf numFmtId="0" fontId="9" fillId="5" borderId="2" xfId="0" applyFont="1" applyFill="1" applyBorder="1" applyAlignment="1" applyProtection="1">
      <alignment horizontal="left" vertical="center" wrapText="1"/>
      <protection locked="0"/>
    </xf>
    <xf numFmtId="3" fontId="8" fillId="5" borderId="2" xfId="0" applyNumberFormat="1" applyFont="1" applyFill="1" applyBorder="1" applyAlignment="1" applyProtection="1">
      <alignment horizontal="right" vertical="center"/>
      <protection locked="0"/>
    </xf>
    <xf numFmtId="165" fontId="9" fillId="6" borderId="2" xfId="0" applyNumberFormat="1" applyFont="1" applyFill="1" applyBorder="1" applyAlignment="1" applyProtection="1">
      <alignment horizontal="right" vertical="center"/>
      <protection locked="0" hidden="1"/>
    </xf>
    <xf numFmtId="0" fontId="10" fillId="4" borderId="2" xfId="0" applyFont="1" applyFill="1" applyBorder="1" applyAlignment="1" applyProtection="1">
      <alignment horizontal="center" vertical="center" wrapText="1"/>
      <protection locked="0"/>
    </xf>
    <xf numFmtId="0" fontId="3" fillId="4" borderId="2" xfId="0" applyFont="1" applyFill="1" applyBorder="1" applyAlignment="1" applyProtection="1">
      <alignment horizontal="center" vertical="center" wrapText="1"/>
      <protection locked="0"/>
    </xf>
    <xf numFmtId="0" fontId="9" fillId="6" borderId="2" xfId="0" applyFont="1" applyFill="1" applyBorder="1" applyAlignment="1" applyProtection="1">
      <alignment horizontal="left" vertical="center" wrapText="1"/>
      <protection locked="0"/>
    </xf>
    <xf numFmtId="165" fontId="11" fillId="8" borderId="3" xfId="0" applyNumberFormat="1" applyFont="1" applyFill="1" applyBorder="1" applyAlignment="1" applyProtection="1">
      <alignment horizontal="right" vertical="center"/>
      <protection locked="0" hidden="1"/>
    </xf>
    <xf numFmtId="3" fontId="9" fillId="6" borderId="2" xfId="0" applyNumberFormat="1" applyFont="1" applyFill="1" applyBorder="1" applyAlignment="1" applyProtection="1">
      <alignment horizontal="right" vertical="center"/>
      <protection locked="0" hidden="1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EEAF1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rightToLeft="1" zoomScale="93" zoomScaleNormal="100" workbookViewId="0">
      <selection sqref="A1:J5"/>
    </sheetView>
  </sheetViews>
  <sheetFormatPr defaultColWidth="8.6328125" defaultRowHeight="14.5" x14ac:dyDescent="0.35"/>
  <cols>
    <col min="1" max="10" width="8.453125" customWidth="1"/>
  </cols>
  <sheetData>
    <row r="1" spans="1:10" ht="25.5" customHeight="1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16.5" customHeight="1" x14ac:dyDescent="0.35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16.5" customHeight="1" x14ac:dyDescent="0.35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ht="16.5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16.5" customHeight="1" x14ac:dyDescent="0.35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 ht="16.5" customHeight="1" x14ac:dyDescent="0.35">
      <c r="A6" s="6" t="s">
        <v>1</v>
      </c>
      <c r="B6" s="6"/>
      <c r="C6" s="6"/>
      <c r="D6" s="6"/>
      <c r="E6" s="6"/>
      <c r="F6" s="6"/>
      <c r="G6" s="6"/>
      <c r="H6" s="6"/>
      <c r="I6" s="6"/>
      <c r="J6" s="6"/>
    </row>
    <row r="7" spans="1:10" ht="16.5" customHeight="1" x14ac:dyDescent="0.35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 ht="3" customHeight="1" x14ac:dyDescent="0.35">
      <c r="A8" s="8"/>
      <c r="B8" s="8"/>
      <c r="C8" s="8"/>
      <c r="D8" s="8"/>
      <c r="E8" s="8"/>
      <c r="F8" s="8"/>
      <c r="G8" s="8"/>
      <c r="H8" s="8"/>
      <c r="I8" s="8"/>
      <c r="J8" s="8"/>
    </row>
    <row r="9" spans="1:10" ht="18.75" customHeight="1" x14ac:dyDescent="0.35">
      <c r="B9" s="5" t="s">
        <v>2</v>
      </c>
      <c r="C9" s="5"/>
      <c r="D9" s="5"/>
      <c r="E9" s="5" t="s">
        <v>3</v>
      </c>
      <c r="F9" s="5"/>
      <c r="G9" s="5"/>
      <c r="H9" s="5" t="s">
        <v>4</v>
      </c>
      <c r="I9" s="5"/>
      <c r="J9" s="5"/>
    </row>
    <row r="10" spans="1:10" ht="15" customHeight="1" x14ac:dyDescent="0.35">
      <c r="B10" s="4" t="s">
        <v>5</v>
      </c>
      <c r="C10" s="4"/>
      <c r="D10" s="4"/>
      <c r="E10" s="4" t="s">
        <v>6</v>
      </c>
      <c r="F10" s="4"/>
      <c r="G10" s="4"/>
      <c r="H10" s="4" t="s">
        <v>7</v>
      </c>
      <c r="I10" s="4"/>
      <c r="J10" s="4"/>
    </row>
    <row r="11" spans="1:10" ht="16.5" customHeight="1" x14ac:dyDescent="0.35"/>
    <row r="12" spans="1:10" ht="16.5" customHeight="1" x14ac:dyDescent="0.35"/>
    <row r="13" spans="1:10" ht="18.75" customHeight="1" x14ac:dyDescent="0.35">
      <c r="B13" s="5" t="s">
        <v>8</v>
      </c>
      <c r="C13" s="5"/>
      <c r="D13" s="5"/>
      <c r="E13" s="5" t="s">
        <v>9</v>
      </c>
      <c r="F13" s="5"/>
      <c r="G13" s="5"/>
      <c r="H13" s="5" t="s">
        <v>10</v>
      </c>
      <c r="I13" s="5"/>
      <c r="J13" s="5"/>
    </row>
    <row r="14" spans="1:10" ht="15" customHeight="1" x14ac:dyDescent="0.35">
      <c r="B14" s="4" t="s">
        <v>11</v>
      </c>
      <c r="C14" s="4"/>
      <c r="D14" s="4"/>
      <c r="E14" s="4" t="s">
        <v>12</v>
      </c>
      <c r="F14" s="4"/>
      <c r="G14" s="4"/>
      <c r="H14" s="4" t="s">
        <v>13</v>
      </c>
      <c r="I14" s="4"/>
      <c r="J14" s="4"/>
    </row>
    <row r="15" spans="1:10" ht="16.5" customHeight="1" x14ac:dyDescent="0.35"/>
    <row r="16" spans="1:10" ht="16.5" customHeight="1" x14ac:dyDescent="0.35"/>
    <row r="17" ht="16.5" customHeight="1" x14ac:dyDescent="0.35"/>
    <row r="18" ht="16.5" customHeight="1" x14ac:dyDescent="0.35"/>
    <row r="19" ht="16.5" customHeight="1" x14ac:dyDescent="0.35"/>
    <row r="20" ht="16.5" customHeight="1" x14ac:dyDescent="0.35"/>
    <row r="21" ht="16.5" customHeight="1" x14ac:dyDescent="0.35"/>
    <row r="22" ht="16.5" customHeight="1" x14ac:dyDescent="0.35"/>
    <row r="23" ht="16.5" customHeight="1" x14ac:dyDescent="0.35"/>
    <row r="24" ht="16.5" customHeight="1" x14ac:dyDescent="0.35"/>
    <row r="25" ht="16.5" customHeight="1" x14ac:dyDescent="0.35"/>
    <row r="26" ht="16.5" customHeight="1" x14ac:dyDescent="0.35"/>
    <row r="27" ht="16.5" customHeight="1" x14ac:dyDescent="0.35"/>
    <row r="28" ht="16.5" customHeight="1" x14ac:dyDescent="0.35"/>
    <row r="29" ht="16.5" customHeight="1" x14ac:dyDescent="0.35"/>
    <row r="30" ht="16.5" customHeight="1" x14ac:dyDescent="0.35"/>
    <row r="31" ht="16.5" customHeight="1" x14ac:dyDescent="0.35"/>
    <row r="32" ht="16.5" customHeight="1" x14ac:dyDescent="0.35"/>
    <row r="33" ht="16.5" customHeight="1" x14ac:dyDescent="0.35"/>
    <row r="34" ht="16.5" customHeight="1" x14ac:dyDescent="0.35"/>
    <row r="35" ht="16.5" customHeight="1" x14ac:dyDescent="0.35"/>
    <row r="36" ht="16.5" customHeight="1" x14ac:dyDescent="0.35"/>
    <row r="37" ht="16.5" customHeight="1" x14ac:dyDescent="0.35"/>
    <row r="38" ht="16.5" customHeight="1" x14ac:dyDescent="0.35"/>
    <row r="39" ht="16.5" customHeight="1" x14ac:dyDescent="0.35"/>
    <row r="40" ht="16.5" customHeight="1" x14ac:dyDescent="0.35"/>
    <row r="41" ht="16.5" customHeight="1" x14ac:dyDescent="0.35"/>
    <row r="42" ht="16.5" customHeight="1" x14ac:dyDescent="0.35"/>
    <row r="43" ht="16.5" customHeight="1" x14ac:dyDescent="0.35"/>
    <row r="44" ht="16.5" customHeight="1" x14ac:dyDescent="0.35"/>
    <row r="45" ht="16.5" customHeight="1" x14ac:dyDescent="0.35"/>
    <row r="46" ht="16.5" customHeight="1" x14ac:dyDescent="0.35"/>
    <row r="47" ht="16.5" customHeight="1" x14ac:dyDescent="0.35"/>
    <row r="48" ht="16.5" customHeight="1" x14ac:dyDescent="0.35"/>
    <row r="49" ht="16.5" customHeight="1" x14ac:dyDescent="0.35"/>
  </sheetData>
  <mergeCells count="14">
    <mergeCell ref="B14:D14"/>
    <mergeCell ref="E14:G14"/>
    <mergeCell ref="H14:J14"/>
    <mergeCell ref="B10:D10"/>
    <mergeCell ref="E10:G10"/>
    <mergeCell ref="H10:J10"/>
    <mergeCell ref="B13:D13"/>
    <mergeCell ref="E13:G13"/>
    <mergeCell ref="H13:J13"/>
    <mergeCell ref="A1:J5"/>
    <mergeCell ref="A6:J7"/>
    <mergeCell ref="B9:D9"/>
    <mergeCell ref="E9:G9"/>
    <mergeCell ref="H9:J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rightToLeft="1" topLeftCell="A8" zoomScaleNormal="100" workbookViewId="0">
      <selection activeCell="B21" sqref="B21"/>
    </sheetView>
  </sheetViews>
  <sheetFormatPr defaultColWidth="8.6328125" defaultRowHeight="14.5" x14ac:dyDescent="0.35"/>
  <cols>
    <col min="1" max="1" width="22" style="26" customWidth="1"/>
    <col min="2" max="2" width="12" style="26" customWidth="1"/>
    <col min="3" max="4" width="14" style="26" customWidth="1"/>
    <col min="5" max="6" width="16" style="26" customWidth="1"/>
    <col min="7" max="7" width="14" style="26" customWidth="1"/>
    <col min="8" max="8" width="12" style="26" customWidth="1"/>
    <col min="9" max="9" width="14" style="26" customWidth="1"/>
    <col min="10" max="16384" width="8.6328125" style="26"/>
  </cols>
  <sheetData>
    <row r="1" spans="1:9" ht="27.75" customHeight="1" x14ac:dyDescent="0.35">
      <c r="A1" s="25" t="s">
        <v>14</v>
      </c>
      <c r="B1" s="25"/>
      <c r="C1" s="25"/>
      <c r="D1" s="25"/>
      <c r="E1" s="25"/>
      <c r="F1" s="25"/>
      <c r="G1" s="25"/>
      <c r="H1" s="25"/>
      <c r="I1" s="25"/>
    </row>
    <row r="2" spans="1:9" ht="15" customHeight="1" x14ac:dyDescent="0.35">
      <c r="A2" s="27" t="s">
        <v>15</v>
      </c>
      <c r="B2" s="27"/>
      <c r="C2" s="27"/>
      <c r="D2" s="27"/>
      <c r="E2" s="27"/>
      <c r="F2" s="27"/>
      <c r="G2" s="27"/>
      <c r="H2" s="27"/>
      <c r="I2" s="27"/>
    </row>
    <row r="3" spans="1:9" ht="21.75" customHeight="1" x14ac:dyDescent="0.35">
      <c r="A3" s="28" t="s">
        <v>16</v>
      </c>
      <c r="B3" s="28" t="s">
        <v>17</v>
      </c>
      <c r="C3" s="28" t="s">
        <v>18</v>
      </c>
      <c r="D3" s="28" t="s">
        <v>19</v>
      </c>
      <c r="E3" s="28" t="s">
        <v>20</v>
      </c>
      <c r="F3" s="28" t="s">
        <v>21</v>
      </c>
      <c r="G3" s="28" t="s">
        <v>22</v>
      </c>
      <c r="H3" s="28" t="s">
        <v>23</v>
      </c>
      <c r="I3" s="28" t="s">
        <v>24</v>
      </c>
    </row>
    <row r="4" spans="1:9" ht="15.75" customHeight="1" x14ac:dyDescent="0.35">
      <c r="A4" s="29" t="s">
        <v>25</v>
      </c>
      <c r="B4" s="29" t="s">
        <v>26</v>
      </c>
      <c r="C4" s="30">
        <v>4.5</v>
      </c>
      <c r="D4" s="30">
        <v>2</v>
      </c>
      <c r="E4" s="30">
        <v>3</v>
      </c>
      <c r="F4" s="40">
        <f t="shared" ref="F4:F16" si="0">C4+D4+E4</f>
        <v>9.5</v>
      </c>
      <c r="G4" s="30">
        <v>0</v>
      </c>
      <c r="H4" s="41">
        <f t="shared" ref="H4:H16" si="1">IF(G4=0,0,C4/G4)</f>
        <v>0</v>
      </c>
      <c r="I4" s="40">
        <f t="shared" ref="I4:I16" si="2">G4-F4</f>
        <v>-9.5</v>
      </c>
    </row>
    <row r="5" spans="1:9" ht="15.75" customHeight="1" x14ac:dyDescent="0.35">
      <c r="A5" s="29" t="s">
        <v>27</v>
      </c>
      <c r="B5" s="29" t="s">
        <v>26</v>
      </c>
      <c r="C5" s="30">
        <v>5</v>
      </c>
      <c r="D5" s="30">
        <v>2</v>
      </c>
      <c r="E5" s="30">
        <v>3</v>
      </c>
      <c r="F5" s="40">
        <f t="shared" si="0"/>
        <v>10</v>
      </c>
      <c r="G5" s="30">
        <v>0</v>
      </c>
      <c r="H5" s="41">
        <f t="shared" si="1"/>
        <v>0</v>
      </c>
      <c r="I5" s="40">
        <f t="shared" si="2"/>
        <v>-10</v>
      </c>
    </row>
    <row r="6" spans="1:9" ht="15.75" customHeight="1" x14ac:dyDescent="0.35">
      <c r="A6" s="29" t="s">
        <v>28</v>
      </c>
      <c r="B6" s="29" t="s">
        <v>26</v>
      </c>
      <c r="C6" s="30">
        <v>2.5</v>
      </c>
      <c r="D6" s="30">
        <v>1.5</v>
      </c>
      <c r="E6" s="30">
        <v>2.5</v>
      </c>
      <c r="F6" s="40">
        <f t="shared" si="0"/>
        <v>6.5</v>
      </c>
      <c r="G6" s="30">
        <v>0</v>
      </c>
      <c r="H6" s="41">
        <f t="shared" si="1"/>
        <v>0</v>
      </c>
      <c r="I6" s="40">
        <f t="shared" si="2"/>
        <v>-6.5</v>
      </c>
    </row>
    <row r="7" spans="1:9" ht="15.75" customHeight="1" x14ac:dyDescent="0.35">
      <c r="A7" s="29" t="s">
        <v>29</v>
      </c>
      <c r="B7" s="29" t="s">
        <v>30</v>
      </c>
      <c r="C7" s="30">
        <v>18</v>
      </c>
      <c r="D7" s="30">
        <v>8</v>
      </c>
      <c r="E7" s="30">
        <v>6</v>
      </c>
      <c r="F7" s="40">
        <f t="shared" si="0"/>
        <v>32</v>
      </c>
      <c r="G7" s="30">
        <v>0</v>
      </c>
      <c r="H7" s="41">
        <f t="shared" si="1"/>
        <v>0</v>
      </c>
      <c r="I7" s="40">
        <f t="shared" si="2"/>
        <v>-32</v>
      </c>
    </row>
    <row r="8" spans="1:9" ht="15.75" customHeight="1" x14ac:dyDescent="0.35">
      <c r="A8" s="29" t="s">
        <v>31</v>
      </c>
      <c r="B8" s="29" t="s">
        <v>30</v>
      </c>
      <c r="C8" s="30">
        <v>22</v>
      </c>
      <c r="D8" s="30">
        <v>10</v>
      </c>
      <c r="E8" s="30">
        <v>8</v>
      </c>
      <c r="F8" s="40">
        <f t="shared" si="0"/>
        <v>40</v>
      </c>
      <c r="G8" s="30">
        <v>0</v>
      </c>
      <c r="H8" s="41">
        <f t="shared" si="1"/>
        <v>0</v>
      </c>
      <c r="I8" s="40">
        <f t="shared" si="2"/>
        <v>-40</v>
      </c>
    </row>
    <row r="9" spans="1:9" ht="15.75" customHeight="1" x14ac:dyDescent="0.35">
      <c r="A9" s="29" t="s">
        <v>32</v>
      </c>
      <c r="B9" s="29" t="s">
        <v>33</v>
      </c>
      <c r="C9" s="30">
        <v>12</v>
      </c>
      <c r="D9" s="30">
        <v>5</v>
      </c>
      <c r="E9" s="30">
        <v>5</v>
      </c>
      <c r="F9" s="40">
        <f t="shared" si="0"/>
        <v>22</v>
      </c>
      <c r="G9" s="30">
        <v>0</v>
      </c>
      <c r="H9" s="41">
        <f t="shared" si="1"/>
        <v>0</v>
      </c>
      <c r="I9" s="40">
        <f t="shared" si="2"/>
        <v>-22</v>
      </c>
    </row>
    <row r="10" spans="1:9" ht="15.75" customHeight="1" x14ac:dyDescent="0.35">
      <c r="A10" s="29" t="s">
        <v>34</v>
      </c>
      <c r="B10" s="29" t="s">
        <v>35</v>
      </c>
      <c r="C10" s="30">
        <v>8</v>
      </c>
      <c r="D10" s="30">
        <v>3</v>
      </c>
      <c r="E10" s="30">
        <v>4</v>
      </c>
      <c r="F10" s="40">
        <f t="shared" si="0"/>
        <v>15</v>
      </c>
      <c r="G10" s="30">
        <v>0</v>
      </c>
      <c r="H10" s="41">
        <f t="shared" si="1"/>
        <v>0</v>
      </c>
      <c r="I10" s="40">
        <f t="shared" si="2"/>
        <v>-15</v>
      </c>
    </row>
    <row r="11" spans="1:9" ht="15.75" customHeight="1" x14ac:dyDescent="0.35">
      <c r="A11" s="29" t="s">
        <v>36</v>
      </c>
      <c r="B11" s="29" t="s">
        <v>37</v>
      </c>
      <c r="C11" s="30">
        <v>4</v>
      </c>
      <c r="D11" s="30">
        <v>2</v>
      </c>
      <c r="E11" s="30">
        <v>3</v>
      </c>
      <c r="F11" s="40">
        <f t="shared" si="0"/>
        <v>9</v>
      </c>
      <c r="G11" s="30">
        <v>0</v>
      </c>
      <c r="H11" s="41">
        <f t="shared" si="1"/>
        <v>0</v>
      </c>
      <c r="I11" s="40">
        <f t="shared" si="2"/>
        <v>-9</v>
      </c>
    </row>
    <row r="12" spans="1:9" ht="15.75" customHeight="1" x14ac:dyDescent="0.35">
      <c r="A12" s="29" t="s">
        <v>38</v>
      </c>
      <c r="B12" s="29" t="s">
        <v>26</v>
      </c>
      <c r="C12" s="30">
        <v>3</v>
      </c>
      <c r="D12" s="30">
        <v>1.5</v>
      </c>
      <c r="E12" s="30">
        <v>2.5</v>
      </c>
      <c r="F12" s="40">
        <f t="shared" si="0"/>
        <v>7</v>
      </c>
      <c r="G12" s="30">
        <v>0</v>
      </c>
      <c r="H12" s="41">
        <f t="shared" si="1"/>
        <v>0</v>
      </c>
      <c r="I12" s="40">
        <f t="shared" si="2"/>
        <v>-7</v>
      </c>
    </row>
    <row r="13" spans="1:9" ht="15.75" customHeight="1" x14ac:dyDescent="0.35">
      <c r="A13" s="29" t="s">
        <v>39</v>
      </c>
      <c r="B13" s="29" t="s">
        <v>26</v>
      </c>
      <c r="C13" s="30">
        <v>6</v>
      </c>
      <c r="D13" s="30">
        <v>2.5</v>
      </c>
      <c r="E13" s="30">
        <v>3.5</v>
      </c>
      <c r="F13" s="40">
        <f t="shared" si="0"/>
        <v>12</v>
      </c>
      <c r="G13" s="30">
        <v>0</v>
      </c>
      <c r="H13" s="41">
        <f t="shared" si="1"/>
        <v>0</v>
      </c>
      <c r="I13" s="40">
        <f t="shared" si="2"/>
        <v>-12</v>
      </c>
    </row>
    <row r="14" spans="1:9" ht="15.75" customHeight="1" x14ac:dyDescent="0.35">
      <c r="A14" s="29"/>
      <c r="B14" s="29"/>
      <c r="C14" s="30">
        <v>0</v>
      </c>
      <c r="D14" s="30">
        <v>0</v>
      </c>
      <c r="E14" s="30">
        <v>0</v>
      </c>
      <c r="F14" s="40">
        <f t="shared" si="0"/>
        <v>0</v>
      </c>
      <c r="G14" s="30">
        <v>0</v>
      </c>
      <c r="H14" s="41">
        <f t="shared" si="1"/>
        <v>0</v>
      </c>
      <c r="I14" s="40">
        <f t="shared" si="2"/>
        <v>0</v>
      </c>
    </row>
    <row r="15" spans="1:9" ht="15.75" customHeight="1" x14ac:dyDescent="0.35">
      <c r="A15" s="29"/>
      <c r="B15" s="29"/>
      <c r="C15" s="30">
        <v>0</v>
      </c>
      <c r="D15" s="30">
        <v>0</v>
      </c>
      <c r="E15" s="30">
        <v>0</v>
      </c>
      <c r="F15" s="40">
        <f t="shared" si="0"/>
        <v>0</v>
      </c>
      <c r="G15" s="30">
        <v>0</v>
      </c>
      <c r="H15" s="41">
        <f t="shared" si="1"/>
        <v>0</v>
      </c>
      <c r="I15" s="40">
        <f t="shared" si="2"/>
        <v>0</v>
      </c>
    </row>
    <row r="16" spans="1:9" ht="15.75" customHeight="1" x14ac:dyDescent="0.35">
      <c r="A16" s="29"/>
      <c r="B16" s="29"/>
      <c r="C16" s="30">
        <v>0</v>
      </c>
      <c r="D16" s="30">
        <v>0</v>
      </c>
      <c r="E16" s="30">
        <v>0</v>
      </c>
      <c r="F16" s="40">
        <f t="shared" si="0"/>
        <v>0</v>
      </c>
      <c r="G16" s="30">
        <v>0</v>
      </c>
      <c r="H16" s="41">
        <f t="shared" si="1"/>
        <v>0</v>
      </c>
      <c r="I16" s="40">
        <f t="shared" si="2"/>
        <v>0</v>
      </c>
    </row>
    <row r="17" spans="1:9" ht="19.5" customHeight="1" x14ac:dyDescent="0.35">
      <c r="A17" s="31" t="s">
        <v>40</v>
      </c>
      <c r="B17" s="31"/>
      <c r="C17" s="31"/>
      <c r="D17" s="31"/>
      <c r="E17" s="31"/>
      <c r="F17" s="31"/>
      <c r="G17" s="40">
        <f>IFERROR(AVERAGEIF(G4:G16,"&gt;0"),0)</f>
        <v>0</v>
      </c>
      <c r="H17" s="41">
        <f>IFERROR(AVERAGEIF(H4:H16,"&gt;0"),0)</f>
        <v>0</v>
      </c>
      <c r="I17" s="40">
        <f>IFERROR(AVERAGEIF(I4:I16,"&gt;0"),0)</f>
        <v>0</v>
      </c>
    </row>
    <row r="19" spans="1:9" ht="21.75" customHeight="1" x14ac:dyDescent="0.35">
      <c r="A19" s="32" t="s">
        <v>41</v>
      </c>
      <c r="B19" s="32"/>
      <c r="C19" s="32"/>
      <c r="D19" s="32"/>
      <c r="E19" s="32"/>
      <c r="F19" s="32"/>
      <c r="G19" s="32"/>
      <c r="H19" s="32"/>
      <c r="I19" s="32"/>
    </row>
    <row r="20" spans="1:9" ht="16.5" customHeight="1" x14ac:dyDescent="0.35">
      <c r="A20" s="33" t="s">
        <v>18</v>
      </c>
      <c r="B20" s="30">
        <v>4.5</v>
      </c>
      <c r="D20" s="33" t="s">
        <v>42</v>
      </c>
      <c r="E20" s="34">
        <v>0.3</v>
      </c>
    </row>
    <row r="21" spans="1:9" ht="18" customHeight="1" x14ac:dyDescent="0.35">
      <c r="A21" s="33" t="s">
        <v>43</v>
      </c>
      <c r="B21" s="42">
        <f>B20/B20</f>
        <v>1</v>
      </c>
    </row>
    <row r="23" spans="1:9" ht="15" customHeight="1" x14ac:dyDescent="0.35">
      <c r="A23" s="35" t="s">
        <v>44</v>
      </c>
    </row>
    <row r="24" spans="1:9" ht="12.75" customHeight="1" x14ac:dyDescent="0.35">
      <c r="A24" s="36" t="s">
        <v>45</v>
      </c>
    </row>
    <row r="25" spans="1:9" ht="12.75" customHeight="1" x14ac:dyDescent="0.35">
      <c r="A25" s="37" t="s">
        <v>46</v>
      </c>
    </row>
    <row r="26" spans="1:9" ht="12.75" customHeight="1" x14ac:dyDescent="0.35">
      <c r="A26" s="38" t="s">
        <v>47</v>
      </c>
    </row>
    <row r="27" spans="1:9" ht="12.75" customHeight="1" x14ac:dyDescent="0.35">
      <c r="A27" s="39" t="s">
        <v>48</v>
      </c>
    </row>
  </sheetData>
  <sheetProtection algorithmName="SHA-512" hashValue="2Nu3EBsdd6qr0DYSCO2CGRQPxPWFk8T3cF4zdZIlJ4lqNcsgoTxMM4sFo0QMsb0TUp2VSDtDVHa1R/acnaWORA==" saltValue="/PFMQ/Co7jZud3HSf2Jhkg==" spinCount="100000" sheet="1" objects="1" scenarios="1"/>
  <mergeCells count="4">
    <mergeCell ref="A1:I1"/>
    <mergeCell ref="A2:I2"/>
    <mergeCell ref="A17:F17"/>
    <mergeCell ref="A19:I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rightToLeft="1" zoomScale="99" zoomScaleNormal="100" workbookViewId="0">
      <selection activeCell="B22" sqref="B22:B23"/>
    </sheetView>
  </sheetViews>
  <sheetFormatPr defaultColWidth="8.6328125" defaultRowHeight="14.5" x14ac:dyDescent="0.35"/>
  <cols>
    <col min="1" max="1" width="22" style="26" customWidth="1"/>
    <col min="2" max="2" width="14" style="26" customWidth="1"/>
    <col min="3" max="3" width="12" style="26" customWidth="1"/>
    <col min="4" max="5" width="16" style="26" customWidth="1"/>
    <col min="6" max="6" width="14" style="26" customWidth="1"/>
    <col min="7" max="16384" width="8.6328125" style="26"/>
  </cols>
  <sheetData>
    <row r="1" spans="1:6" ht="27.75" customHeight="1" x14ac:dyDescent="0.35">
      <c r="A1" s="25" t="s">
        <v>49</v>
      </c>
      <c r="B1" s="25"/>
      <c r="C1" s="25"/>
      <c r="D1" s="25"/>
      <c r="E1" s="25"/>
      <c r="F1" s="25"/>
    </row>
    <row r="3" spans="1:6" ht="16.5" customHeight="1" x14ac:dyDescent="0.35">
      <c r="A3" s="33" t="s">
        <v>16</v>
      </c>
      <c r="B3" s="29" t="s">
        <v>25</v>
      </c>
      <c r="D3" s="33" t="s">
        <v>50</v>
      </c>
      <c r="E3" s="43">
        <v>1</v>
      </c>
    </row>
    <row r="5" spans="1:6" ht="19.5" customHeight="1" x14ac:dyDescent="0.35">
      <c r="A5" s="28" t="s">
        <v>51</v>
      </c>
      <c r="B5" s="28" t="s">
        <v>52</v>
      </c>
      <c r="C5" s="28" t="s">
        <v>53</v>
      </c>
      <c r="D5" s="28" t="s">
        <v>54</v>
      </c>
      <c r="E5" s="28" t="s">
        <v>55</v>
      </c>
      <c r="F5" s="28" t="s">
        <v>56</v>
      </c>
    </row>
    <row r="6" spans="1:6" ht="16.5" customHeight="1" x14ac:dyDescent="0.35">
      <c r="A6" s="29" t="s">
        <v>57</v>
      </c>
      <c r="B6" s="44">
        <v>200</v>
      </c>
      <c r="C6" s="29" t="s">
        <v>58</v>
      </c>
      <c r="D6" s="45">
        <v>1.4999999999999999E-2</v>
      </c>
      <c r="E6" s="40">
        <f t="shared" ref="E6:E13" si="0">B6*D6</f>
        <v>3</v>
      </c>
      <c r="F6" s="41">
        <f t="shared" ref="F6:F13" si="1">IF(SUM(E$6:E$13)=0,0,E6/SUM(E$6:E$13))</f>
        <v>0.4428044280442805</v>
      </c>
    </row>
    <row r="7" spans="1:6" ht="16.5" customHeight="1" x14ac:dyDescent="0.35">
      <c r="A7" s="29" t="s">
        <v>59</v>
      </c>
      <c r="B7" s="44">
        <v>18</v>
      </c>
      <c r="C7" s="29" t="s">
        <v>60</v>
      </c>
      <c r="D7" s="45">
        <v>0.12</v>
      </c>
      <c r="E7" s="40">
        <f t="shared" si="0"/>
        <v>2.16</v>
      </c>
      <c r="F7" s="41">
        <f t="shared" si="1"/>
        <v>0.31881918819188199</v>
      </c>
    </row>
    <row r="8" spans="1:6" ht="16.5" customHeight="1" x14ac:dyDescent="0.35">
      <c r="A8" s="29" t="s">
        <v>61</v>
      </c>
      <c r="B8" s="44">
        <v>5</v>
      </c>
      <c r="C8" s="29" t="s">
        <v>60</v>
      </c>
      <c r="D8" s="45">
        <v>3.0000000000000001E-3</v>
      </c>
      <c r="E8" s="40">
        <f t="shared" si="0"/>
        <v>1.4999999999999999E-2</v>
      </c>
      <c r="F8" s="41">
        <f t="shared" si="1"/>
        <v>2.2140221402214021E-3</v>
      </c>
    </row>
    <row r="9" spans="1:6" ht="16.5" customHeight="1" x14ac:dyDescent="0.35">
      <c r="A9" s="29" t="s">
        <v>62</v>
      </c>
      <c r="B9" s="44">
        <v>20</v>
      </c>
      <c r="C9" s="29" t="s">
        <v>60</v>
      </c>
      <c r="D9" s="45">
        <v>0.04</v>
      </c>
      <c r="E9" s="40">
        <f t="shared" si="0"/>
        <v>0.8</v>
      </c>
      <c r="F9" s="41">
        <f t="shared" si="1"/>
        <v>0.11808118081180813</v>
      </c>
    </row>
    <row r="10" spans="1:6" ht="16.5" customHeight="1" x14ac:dyDescent="0.35">
      <c r="A10" s="29" t="s">
        <v>63</v>
      </c>
      <c r="B10" s="44">
        <v>1</v>
      </c>
      <c r="C10" s="29" t="s">
        <v>64</v>
      </c>
      <c r="D10" s="45">
        <v>0.8</v>
      </c>
      <c r="E10" s="40">
        <f t="shared" si="0"/>
        <v>0.8</v>
      </c>
      <c r="F10" s="41">
        <f t="shared" si="1"/>
        <v>0.11808118081180813</v>
      </c>
    </row>
    <row r="11" spans="1:6" ht="16.5" customHeight="1" x14ac:dyDescent="0.35">
      <c r="A11" s="29"/>
      <c r="B11" s="44">
        <v>0</v>
      </c>
      <c r="C11" s="29"/>
      <c r="D11" s="45">
        <v>0</v>
      </c>
      <c r="E11" s="40">
        <f t="shared" si="0"/>
        <v>0</v>
      </c>
      <c r="F11" s="41">
        <f t="shared" si="1"/>
        <v>0</v>
      </c>
    </row>
    <row r="12" spans="1:6" ht="16.5" customHeight="1" x14ac:dyDescent="0.35">
      <c r="A12" s="29"/>
      <c r="B12" s="44">
        <v>0</v>
      </c>
      <c r="C12" s="29"/>
      <c r="D12" s="45">
        <v>0</v>
      </c>
      <c r="E12" s="40">
        <f t="shared" si="0"/>
        <v>0</v>
      </c>
      <c r="F12" s="41">
        <f t="shared" si="1"/>
        <v>0</v>
      </c>
    </row>
    <row r="13" spans="1:6" ht="16.5" customHeight="1" x14ac:dyDescent="0.35">
      <c r="A13" s="29"/>
      <c r="B13" s="44">
        <v>0</v>
      </c>
      <c r="C13" s="29"/>
      <c r="D13" s="45">
        <v>0</v>
      </c>
      <c r="E13" s="40">
        <f t="shared" si="0"/>
        <v>0</v>
      </c>
      <c r="F13" s="41">
        <f t="shared" si="1"/>
        <v>0</v>
      </c>
    </row>
    <row r="14" spans="1:6" ht="19.5" customHeight="1" x14ac:dyDescent="0.35">
      <c r="A14" s="31" t="s">
        <v>65</v>
      </c>
      <c r="B14" s="31"/>
      <c r="C14" s="31"/>
      <c r="D14" s="31"/>
      <c r="E14" s="42">
        <f>SUM(E6:E13)</f>
        <v>6.7749999999999995</v>
      </c>
      <c r="F14" s="47"/>
    </row>
    <row r="16" spans="1:6" ht="21.75" customHeight="1" x14ac:dyDescent="0.35">
      <c r="A16" s="32" t="s">
        <v>66</v>
      </c>
      <c r="B16" s="32"/>
      <c r="C16" s="32"/>
      <c r="D16" s="32"/>
      <c r="E16" s="32"/>
      <c r="F16" s="32"/>
    </row>
    <row r="17" spans="1:2" ht="18" customHeight="1" x14ac:dyDescent="0.35">
      <c r="A17" s="46" t="s">
        <v>18</v>
      </c>
      <c r="B17" s="40">
        <f>E14</f>
        <v>6.7749999999999995</v>
      </c>
    </row>
    <row r="18" spans="1:2" ht="18" customHeight="1" x14ac:dyDescent="0.35">
      <c r="A18" s="46" t="s">
        <v>67</v>
      </c>
      <c r="B18" s="30">
        <v>2</v>
      </c>
    </row>
    <row r="19" spans="1:2" ht="18" customHeight="1" x14ac:dyDescent="0.35">
      <c r="A19" s="46" t="s">
        <v>68</v>
      </c>
      <c r="B19" s="30">
        <v>3</v>
      </c>
    </row>
    <row r="20" spans="1:2" ht="18" customHeight="1" x14ac:dyDescent="0.35">
      <c r="A20" s="46" t="s">
        <v>69</v>
      </c>
      <c r="B20" s="40">
        <f>B17+B18+B19</f>
        <v>11.774999999999999</v>
      </c>
    </row>
    <row r="21" spans="1:2" ht="18" customHeight="1" x14ac:dyDescent="0.35">
      <c r="A21" s="46" t="s">
        <v>70</v>
      </c>
      <c r="B21" s="30">
        <v>18</v>
      </c>
    </row>
    <row r="22" spans="1:2" ht="18" customHeight="1" x14ac:dyDescent="0.35">
      <c r="A22" s="46" t="s">
        <v>24</v>
      </c>
      <c r="B22" s="42">
        <f>B21-B20</f>
        <v>6.2250000000000014</v>
      </c>
    </row>
    <row r="23" spans="1:2" ht="18" customHeight="1" x14ac:dyDescent="0.35">
      <c r="A23" s="46" t="s">
        <v>23</v>
      </c>
      <c r="B23" s="48">
        <f>IF(B21=0,0,B17/B21)</f>
        <v>0.37638888888888888</v>
      </c>
    </row>
    <row r="25" spans="1:2" ht="15" customHeight="1" x14ac:dyDescent="0.35">
      <c r="A25" s="35" t="s">
        <v>44</v>
      </c>
    </row>
    <row r="26" spans="1:2" ht="12.75" customHeight="1" x14ac:dyDescent="0.35">
      <c r="A26" s="36" t="s">
        <v>45</v>
      </c>
    </row>
    <row r="27" spans="1:2" ht="12.75" customHeight="1" x14ac:dyDescent="0.35">
      <c r="A27" s="37" t="s">
        <v>46</v>
      </c>
    </row>
    <row r="28" spans="1:2" ht="12.75" customHeight="1" x14ac:dyDescent="0.35">
      <c r="A28" s="38" t="s">
        <v>47</v>
      </c>
    </row>
    <row r="29" spans="1:2" ht="12.75" customHeight="1" x14ac:dyDescent="0.35">
      <c r="A29" s="39" t="s">
        <v>48</v>
      </c>
    </row>
  </sheetData>
  <sheetProtection algorithmName="SHA-512" hashValue="+cIxM88TI9GvE1R82EkOfO0bWWOb1PEo36LXo/xEiaExDM7phA3NjMhHGgNXazpP9uU3mXE+OyzRyrEf0JEkog==" saltValue="r/7RSuYu7IhWFJWfZ9biCA==" spinCount="100000" sheet="1" objects="1" scenarios="1"/>
  <mergeCells count="3">
    <mergeCell ref="A1:F1"/>
    <mergeCell ref="A14:D14"/>
    <mergeCell ref="A16:F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rightToLeft="1" tabSelected="1" zoomScale="97" zoomScaleNormal="100" workbookViewId="0">
      <selection activeCell="D11" sqref="D11"/>
    </sheetView>
  </sheetViews>
  <sheetFormatPr defaultColWidth="8.6328125" defaultRowHeight="14.5" x14ac:dyDescent="0.35"/>
  <cols>
    <col min="1" max="1" width="12" style="26" customWidth="1"/>
    <col min="2" max="2" width="14" style="26" customWidth="1"/>
    <col min="3" max="3" width="12" style="26" customWidth="1"/>
    <col min="4" max="4" width="18" style="26" customWidth="1"/>
    <col min="5" max="6" width="16" style="26" customWidth="1"/>
    <col min="7" max="7" width="12" style="26" customWidth="1"/>
    <col min="8" max="8" width="18" style="26" customWidth="1"/>
    <col min="9" max="16384" width="8.6328125" style="26"/>
  </cols>
  <sheetData>
    <row r="1" spans="1:8" ht="27.75" customHeight="1" x14ac:dyDescent="0.35">
      <c r="A1" s="25" t="s">
        <v>71</v>
      </c>
      <c r="B1" s="25"/>
      <c r="C1" s="25"/>
      <c r="D1" s="25"/>
      <c r="E1" s="25"/>
      <c r="F1" s="25"/>
      <c r="G1" s="25"/>
      <c r="H1" s="25"/>
    </row>
    <row r="3" spans="1:8" ht="19.5" customHeight="1" x14ac:dyDescent="0.35">
      <c r="A3" s="28" t="s">
        <v>72</v>
      </c>
      <c r="B3" s="28" t="s">
        <v>73</v>
      </c>
      <c r="C3" s="28" t="s">
        <v>74</v>
      </c>
      <c r="D3" s="28" t="s">
        <v>75</v>
      </c>
      <c r="E3" s="28" t="s">
        <v>76</v>
      </c>
      <c r="F3" s="28" t="s">
        <v>77</v>
      </c>
      <c r="G3" s="28" t="s">
        <v>23</v>
      </c>
      <c r="H3" s="28" t="s">
        <v>78</v>
      </c>
    </row>
    <row r="4" spans="1:8" ht="16.5" customHeight="1" x14ac:dyDescent="0.35">
      <c r="A4" s="49" t="s">
        <v>79</v>
      </c>
      <c r="B4" s="29"/>
      <c r="C4" s="50">
        <v>0</v>
      </c>
      <c r="D4" s="50">
        <v>0</v>
      </c>
      <c r="E4" s="51">
        <f t="shared" ref="E4:E11" si="0">IF(C4=0,0,D4/C4)</f>
        <v>0</v>
      </c>
      <c r="F4" s="50">
        <v>0</v>
      </c>
      <c r="G4" s="41">
        <f t="shared" ref="G4:G11" si="1">IF(D4=0,0,F4/D4)</f>
        <v>0</v>
      </c>
      <c r="H4" s="29"/>
    </row>
    <row r="5" spans="1:8" ht="16.5" customHeight="1" x14ac:dyDescent="0.35">
      <c r="A5" s="33" t="s">
        <v>80</v>
      </c>
      <c r="B5" s="29"/>
      <c r="C5" s="50">
        <v>0</v>
      </c>
      <c r="D5" s="50">
        <v>0</v>
      </c>
      <c r="E5" s="51">
        <f t="shared" si="0"/>
        <v>0</v>
      </c>
      <c r="F5" s="50">
        <v>0</v>
      </c>
      <c r="G5" s="41">
        <f t="shared" si="1"/>
        <v>0</v>
      </c>
      <c r="H5" s="29"/>
    </row>
    <row r="6" spans="1:8" ht="16.5" customHeight="1" x14ac:dyDescent="0.35">
      <c r="A6" s="49" t="s">
        <v>81</v>
      </c>
      <c r="B6" s="29"/>
      <c r="C6" s="50">
        <v>0</v>
      </c>
      <c r="D6" s="50">
        <v>0</v>
      </c>
      <c r="E6" s="51">
        <f t="shared" si="0"/>
        <v>0</v>
      </c>
      <c r="F6" s="50">
        <v>0</v>
      </c>
      <c r="G6" s="41">
        <f t="shared" si="1"/>
        <v>0</v>
      </c>
      <c r="H6" s="29"/>
    </row>
    <row r="7" spans="1:8" ht="16.5" customHeight="1" x14ac:dyDescent="0.35">
      <c r="A7" s="33" t="s">
        <v>82</v>
      </c>
      <c r="B7" s="29"/>
      <c r="C7" s="50">
        <v>0</v>
      </c>
      <c r="D7" s="50">
        <v>0</v>
      </c>
      <c r="E7" s="51">
        <f t="shared" si="0"/>
        <v>0</v>
      </c>
      <c r="F7" s="50">
        <v>0</v>
      </c>
      <c r="G7" s="41">
        <f t="shared" si="1"/>
        <v>0</v>
      </c>
      <c r="H7" s="29"/>
    </row>
    <row r="8" spans="1:8" ht="16.5" customHeight="1" x14ac:dyDescent="0.35">
      <c r="A8" s="49" t="s">
        <v>83</v>
      </c>
      <c r="B8" s="29"/>
      <c r="C8" s="50">
        <v>0</v>
      </c>
      <c r="D8" s="50">
        <v>0</v>
      </c>
      <c r="E8" s="51">
        <f t="shared" si="0"/>
        <v>0</v>
      </c>
      <c r="F8" s="50">
        <v>0</v>
      </c>
      <c r="G8" s="41">
        <f t="shared" si="1"/>
        <v>0</v>
      </c>
      <c r="H8" s="29"/>
    </row>
    <row r="9" spans="1:8" ht="16.5" customHeight="1" x14ac:dyDescent="0.35">
      <c r="A9" s="33" t="s">
        <v>84</v>
      </c>
      <c r="B9" s="29"/>
      <c r="C9" s="50">
        <v>0</v>
      </c>
      <c r="D9" s="50">
        <v>0</v>
      </c>
      <c r="E9" s="51">
        <f t="shared" si="0"/>
        <v>0</v>
      </c>
      <c r="F9" s="50">
        <v>0</v>
      </c>
      <c r="G9" s="41">
        <f t="shared" si="1"/>
        <v>0</v>
      </c>
      <c r="H9" s="29"/>
    </row>
    <row r="10" spans="1:8" ht="16.5" customHeight="1" x14ac:dyDescent="0.35">
      <c r="A10" s="49" t="s">
        <v>85</v>
      </c>
      <c r="B10" s="29"/>
      <c r="C10" s="50">
        <v>0</v>
      </c>
      <c r="D10" s="50">
        <v>0</v>
      </c>
      <c r="E10" s="51">
        <f t="shared" si="0"/>
        <v>0</v>
      </c>
      <c r="F10" s="50">
        <v>0</v>
      </c>
      <c r="G10" s="41">
        <f t="shared" si="1"/>
        <v>0</v>
      </c>
      <c r="H10" s="29"/>
    </row>
    <row r="11" spans="1:8" ht="19.5" customHeight="1" x14ac:dyDescent="0.35">
      <c r="A11" s="31" t="s">
        <v>86</v>
      </c>
      <c r="B11" s="31"/>
      <c r="C11" s="42">
        <f>SUM(C4:C10)</f>
        <v>0</v>
      </c>
      <c r="D11" s="42">
        <f>SUM(D4:D10)</f>
        <v>0</v>
      </c>
      <c r="E11" s="51">
        <f t="shared" si="0"/>
        <v>0</v>
      </c>
      <c r="F11" s="42">
        <f>SUM(F4:F10)</f>
        <v>0</v>
      </c>
      <c r="G11" s="41">
        <f t="shared" si="1"/>
        <v>0</v>
      </c>
    </row>
    <row r="13" spans="1:8" ht="15" customHeight="1" x14ac:dyDescent="0.35">
      <c r="A13" s="35" t="s">
        <v>44</v>
      </c>
    </row>
    <row r="14" spans="1:8" ht="12.75" customHeight="1" x14ac:dyDescent="0.35">
      <c r="A14" s="36" t="s">
        <v>45</v>
      </c>
    </row>
    <row r="15" spans="1:8" ht="12.75" customHeight="1" x14ac:dyDescent="0.35">
      <c r="A15" s="37" t="s">
        <v>46</v>
      </c>
    </row>
    <row r="16" spans="1:8" ht="12.75" customHeight="1" x14ac:dyDescent="0.35">
      <c r="A16" s="38" t="s">
        <v>47</v>
      </c>
    </row>
    <row r="17" spans="1:1" ht="12.75" customHeight="1" x14ac:dyDescent="0.35">
      <c r="A17" s="39" t="s">
        <v>48</v>
      </c>
    </row>
  </sheetData>
  <sheetProtection algorithmName="SHA-512" hashValue="UzwVm8AMrRZgfCtCpZvmmPUwwKXP1tiua7hk3TLgDrC2cJ55QD6znH9SCBq+yh5BmZlH4fpRPYzNAuFa1sLHZw==" saltValue="0SWRkhZo68ARS91CR5rRqA==" spinCount="100000" sheet="1" objects="1" scenarios="1"/>
  <mergeCells count="2">
    <mergeCell ref="A1:H1"/>
    <mergeCell ref="A11:B1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5"/>
  <sheetViews>
    <sheetView rightToLeft="1" topLeftCell="A17" zoomScaleNormal="100" workbookViewId="0">
      <selection activeCell="D29" sqref="D29"/>
    </sheetView>
  </sheetViews>
  <sheetFormatPr defaultColWidth="8.6328125" defaultRowHeight="14.5" x14ac:dyDescent="0.35"/>
  <cols>
    <col min="1" max="1" width="30" style="26" customWidth="1"/>
    <col min="2" max="4" width="18" style="26" customWidth="1"/>
    <col min="5" max="5" width="14" style="26" customWidth="1"/>
    <col min="6" max="16384" width="8.6328125" style="26"/>
  </cols>
  <sheetData>
    <row r="1" spans="1:5" ht="27.75" customHeight="1" x14ac:dyDescent="0.35">
      <c r="A1" s="25" t="s">
        <v>87</v>
      </c>
      <c r="B1" s="25"/>
      <c r="C1" s="25"/>
      <c r="D1" s="25"/>
      <c r="E1" s="25"/>
    </row>
    <row r="3" spans="1:5" ht="21.75" customHeight="1" x14ac:dyDescent="0.35">
      <c r="A3" s="52" t="s">
        <v>88</v>
      </c>
      <c r="B3" s="52"/>
      <c r="C3" s="52"/>
      <c r="D3" s="52"/>
      <c r="E3" s="52"/>
    </row>
    <row r="4" spans="1:5" ht="16.5" customHeight="1" x14ac:dyDescent="0.35">
      <c r="A4" s="33" t="s">
        <v>89</v>
      </c>
      <c r="B4" s="50">
        <v>8000</v>
      </c>
    </row>
    <row r="5" spans="1:5" ht="16.5" customHeight="1" x14ac:dyDescent="0.35">
      <c r="A5" s="33" t="s">
        <v>90</v>
      </c>
      <c r="B5" s="50">
        <v>25000</v>
      </c>
    </row>
    <row r="6" spans="1:5" ht="16.5" customHeight="1" x14ac:dyDescent="0.35">
      <c r="A6" s="33" t="s">
        <v>91</v>
      </c>
      <c r="B6" s="50">
        <v>3000</v>
      </c>
    </row>
    <row r="7" spans="1:5" ht="16.5" customHeight="1" x14ac:dyDescent="0.35">
      <c r="A7" s="33" t="s">
        <v>92</v>
      </c>
      <c r="B7" s="50">
        <v>500</v>
      </c>
    </row>
    <row r="8" spans="1:5" ht="16.5" customHeight="1" x14ac:dyDescent="0.35">
      <c r="A8" s="33" t="s">
        <v>93</v>
      </c>
      <c r="B8" s="50">
        <v>800</v>
      </c>
    </row>
    <row r="9" spans="1:5" ht="16.5" customHeight="1" x14ac:dyDescent="0.35">
      <c r="A9" s="33" t="s">
        <v>94</v>
      </c>
      <c r="B9" s="50">
        <v>1500</v>
      </c>
    </row>
    <row r="10" spans="1:5" ht="16.5" customHeight="1" x14ac:dyDescent="0.35">
      <c r="A10" s="33" t="s">
        <v>95</v>
      </c>
      <c r="B10" s="50">
        <v>1200</v>
      </c>
    </row>
    <row r="11" spans="1:5" ht="19.5" customHeight="1" x14ac:dyDescent="0.35">
      <c r="A11" s="53" t="s">
        <v>96</v>
      </c>
      <c r="B11" s="42">
        <f>SUM(B4:B10)</f>
        <v>40000</v>
      </c>
    </row>
    <row r="13" spans="1:5" ht="21.75" customHeight="1" x14ac:dyDescent="0.35">
      <c r="A13" s="52" t="s">
        <v>97</v>
      </c>
      <c r="B13" s="52"/>
      <c r="C13" s="52"/>
      <c r="D13" s="52"/>
      <c r="E13" s="52"/>
    </row>
    <row r="14" spans="1:5" ht="16.5" customHeight="1" x14ac:dyDescent="0.35">
      <c r="A14" s="33" t="s">
        <v>98</v>
      </c>
      <c r="B14" s="50">
        <v>45</v>
      </c>
    </row>
    <row r="15" spans="1:5" ht="16.5" customHeight="1" x14ac:dyDescent="0.35">
      <c r="A15" s="33" t="s">
        <v>99</v>
      </c>
      <c r="B15" s="34">
        <v>0.3</v>
      </c>
    </row>
    <row r="16" spans="1:5" ht="16.5" customHeight="1" x14ac:dyDescent="0.35">
      <c r="A16" s="33" t="s">
        <v>100</v>
      </c>
      <c r="B16" s="40">
        <f>B14*(1-B15)</f>
        <v>31.499999999999996</v>
      </c>
    </row>
    <row r="18" spans="1:5" ht="21.75" customHeight="1" x14ac:dyDescent="0.35">
      <c r="A18" s="32" t="s">
        <v>101</v>
      </c>
      <c r="B18" s="32"/>
      <c r="C18" s="32"/>
      <c r="D18" s="32"/>
      <c r="E18" s="32"/>
    </row>
    <row r="19" spans="1:5" ht="18" customHeight="1" x14ac:dyDescent="0.35">
      <c r="A19" s="46" t="s">
        <v>102</v>
      </c>
      <c r="B19" s="55">
        <f>CEILING(B11/(B16*30),1)</f>
        <v>43</v>
      </c>
    </row>
    <row r="20" spans="1:5" ht="18" customHeight="1" x14ac:dyDescent="0.35">
      <c r="A20" s="46" t="s">
        <v>103</v>
      </c>
      <c r="B20" s="55">
        <f>B19*B14</f>
        <v>1935</v>
      </c>
    </row>
    <row r="21" spans="1:5" ht="18" customHeight="1" x14ac:dyDescent="0.35">
      <c r="A21" s="46" t="s">
        <v>104</v>
      </c>
      <c r="B21" s="55">
        <f>B20*30</f>
        <v>58050</v>
      </c>
    </row>
    <row r="22" spans="1:5" ht="18" customHeight="1" x14ac:dyDescent="0.35">
      <c r="A22" s="46" t="s">
        <v>105</v>
      </c>
      <c r="B22" s="55">
        <f>CEILING(B11/B16/B14,0)</f>
        <v>0</v>
      </c>
    </row>
    <row r="24" spans="1:5" ht="21.75" customHeight="1" x14ac:dyDescent="0.35">
      <c r="A24" s="52" t="s">
        <v>106</v>
      </c>
      <c r="B24" s="52"/>
      <c r="C24" s="52"/>
      <c r="D24" s="52"/>
      <c r="E24" s="52"/>
    </row>
    <row r="25" spans="1:5" ht="19.5" customHeight="1" x14ac:dyDescent="0.35">
      <c r="A25" s="28" t="s">
        <v>107</v>
      </c>
      <c r="B25" s="28" t="s">
        <v>108</v>
      </c>
      <c r="C25" s="28" t="s">
        <v>109</v>
      </c>
      <c r="D25" s="28" t="s">
        <v>110</v>
      </c>
      <c r="E25" s="28" t="s">
        <v>111</v>
      </c>
    </row>
    <row r="26" spans="1:5" ht="16.5" customHeight="1" x14ac:dyDescent="0.35">
      <c r="A26" s="54" t="s">
        <v>112</v>
      </c>
      <c r="B26" s="51">
        <f>B11/15/30</f>
        <v>88.888888888888886</v>
      </c>
      <c r="C26" s="56">
        <f>B11</f>
        <v>40000</v>
      </c>
      <c r="D26" s="56">
        <f>0</f>
        <v>0</v>
      </c>
      <c r="E26" s="41">
        <f>0</f>
        <v>0</v>
      </c>
    </row>
    <row r="27" spans="1:5" ht="16.5" customHeight="1" x14ac:dyDescent="0.35">
      <c r="A27" s="49" t="s">
        <v>113</v>
      </c>
      <c r="B27" s="51">
        <f>CEILING((B11+10000)/B16/30,1)</f>
        <v>53</v>
      </c>
      <c r="C27" s="56">
        <f>B27*B14*30</f>
        <v>71550</v>
      </c>
      <c r="D27" s="56">
        <f>B28-B11</f>
        <v>-39936</v>
      </c>
      <c r="E27" s="41">
        <f>IF(C27=0,0,D27/C27)</f>
        <v>-0.55815513626834379</v>
      </c>
    </row>
    <row r="28" spans="1:5" ht="16.5" customHeight="1" x14ac:dyDescent="0.35">
      <c r="A28" s="49" t="s">
        <v>114</v>
      </c>
      <c r="B28" s="51">
        <f>CEILING((B11+20000)/B16/30,1)</f>
        <v>64</v>
      </c>
      <c r="C28" s="56">
        <f>B28*B14*30</f>
        <v>86400</v>
      </c>
      <c r="D28" s="56">
        <f>B29-B11</f>
        <v>-39925</v>
      </c>
      <c r="E28" s="41">
        <f>IF(C28=0,0,D28/C28)</f>
        <v>-0.46209490740740738</v>
      </c>
    </row>
    <row r="29" spans="1:5" ht="16.5" customHeight="1" x14ac:dyDescent="0.35">
      <c r="A29" s="49" t="s">
        <v>115</v>
      </c>
      <c r="B29" s="51">
        <f>CEILING((B11+30000)/B16/30,1)</f>
        <v>75</v>
      </c>
      <c r="C29" s="56">
        <f>B29*B14*30</f>
        <v>101250</v>
      </c>
      <c r="D29" s="56">
        <f>B30-B11</f>
        <v>-40000</v>
      </c>
      <c r="E29" s="41">
        <f>IF(C29=0,0,D29/C29)</f>
        <v>-0.39506172839506171</v>
      </c>
    </row>
    <row r="31" spans="1:5" ht="15" customHeight="1" x14ac:dyDescent="0.35">
      <c r="A31" s="35" t="s">
        <v>44</v>
      </c>
    </row>
    <row r="32" spans="1:5" ht="12.75" customHeight="1" x14ac:dyDescent="0.35">
      <c r="A32" s="36" t="s">
        <v>45</v>
      </c>
    </row>
    <row r="33" spans="1:1" ht="12.75" customHeight="1" x14ac:dyDescent="0.35">
      <c r="A33" s="37" t="s">
        <v>46</v>
      </c>
    </row>
    <row r="34" spans="1:1" ht="12.75" customHeight="1" x14ac:dyDescent="0.35">
      <c r="A34" s="38" t="s">
        <v>47</v>
      </c>
    </row>
    <row r="35" spans="1:1" ht="12.75" customHeight="1" x14ac:dyDescent="0.35">
      <c r="A35" s="39" t="s">
        <v>48</v>
      </c>
    </row>
  </sheetData>
  <sheetProtection algorithmName="SHA-512" hashValue="Vb3lOGwcGHrn/Uq/ZAnbyg3Z9nq2pukaeOXwkLPoKTMBqo+qcUYjO/Gle/TabHGIX9aXic5hd8rND0sGde+IYQ==" saltValue="nY6AVwHODvGoDvDv0E6Wpw==" spinCount="100000" sheet="1" objects="1" scenarios="1"/>
  <mergeCells count="5">
    <mergeCell ref="A1:E1"/>
    <mergeCell ref="A3:E3"/>
    <mergeCell ref="A13:E13"/>
    <mergeCell ref="A18:E18"/>
    <mergeCell ref="A24:E2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2"/>
  <sheetViews>
    <sheetView rightToLeft="1" zoomScaleNormal="100" workbookViewId="0">
      <selection sqref="A1:I1"/>
    </sheetView>
  </sheetViews>
  <sheetFormatPr defaultColWidth="8.6328125" defaultRowHeight="14.5" x14ac:dyDescent="0.35"/>
  <cols>
    <col min="1" max="1" width="18" customWidth="1"/>
    <col min="2" max="2" width="16" customWidth="1"/>
    <col min="3" max="9" width="9" customWidth="1"/>
    <col min="10" max="10" width="12" customWidth="1"/>
  </cols>
  <sheetData>
    <row r="1" spans="1:10" ht="27.75" customHeight="1" x14ac:dyDescent="0.35">
      <c r="A1" s="3" t="s">
        <v>116</v>
      </c>
      <c r="B1" s="3"/>
      <c r="C1" s="3"/>
      <c r="D1" s="3"/>
      <c r="E1" s="3"/>
      <c r="F1" s="3"/>
      <c r="G1" s="3"/>
      <c r="H1" s="3"/>
      <c r="I1" s="3"/>
    </row>
    <row r="3" spans="1:10" ht="19.5" customHeight="1" x14ac:dyDescent="0.35">
      <c r="A3" s="9" t="s">
        <v>117</v>
      </c>
      <c r="B3" s="9" t="s">
        <v>118</v>
      </c>
      <c r="C3" s="20" t="s">
        <v>79</v>
      </c>
      <c r="D3" s="20" t="s">
        <v>80</v>
      </c>
      <c r="E3" s="20" t="s">
        <v>81</v>
      </c>
      <c r="F3" s="20" t="s">
        <v>82</v>
      </c>
      <c r="G3" s="20" t="s">
        <v>83</v>
      </c>
      <c r="H3" s="20" t="s">
        <v>84</v>
      </c>
      <c r="I3" s="20" t="s">
        <v>85</v>
      </c>
      <c r="J3" s="21" t="s">
        <v>119</v>
      </c>
    </row>
    <row r="4" spans="1:10" ht="16.5" customHeight="1" x14ac:dyDescent="0.35">
      <c r="A4" s="10" t="s">
        <v>120</v>
      </c>
      <c r="B4" s="10" t="s">
        <v>121</v>
      </c>
      <c r="C4" s="22">
        <v>8</v>
      </c>
      <c r="D4" s="22">
        <v>8</v>
      </c>
      <c r="E4" s="22">
        <v>8</v>
      </c>
      <c r="F4" s="22">
        <v>8</v>
      </c>
      <c r="G4" s="22">
        <v>8</v>
      </c>
      <c r="H4" s="22">
        <v>10</v>
      </c>
      <c r="I4" s="22">
        <v>10</v>
      </c>
      <c r="J4" s="23">
        <f t="shared" ref="J4:J9" si="0">SUM(C4:I4)</f>
        <v>60</v>
      </c>
    </row>
    <row r="5" spans="1:10" ht="16.5" customHeight="1" x14ac:dyDescent="0.35">
      <c r="A5" s="10" t="s">
        <v>122</v>
      </c>
      <c r="B5" s="10" t="s">
        <v>123</v>
      </c>
      <c r="C5" s="24">
        <v>0</v>
      </c>
      <c r="D5" s="22">
        <v>8</v>
      </c>
      <c r="E5" s="22">
        <v>8</v>
      </c>
      <c r="F5" s="22">
        <v>8</v>
      </c>
      <c r="G5" s="22">
        <v>8</v>
      </c>
      <c r="H5" s="22">
        <v>10</v>
      </c>
      <c r="I5" s="22">
        <v>10</v>
      </c>
      <c r="J5" s="23">
        <f t="shared" si="0"/>
        <v>52</v>
      </c>
    </row>
    <row r="6" spans="1:10" ht="16.5" customHeight="1" x14ac:dyDescent="0.35">
      <c r="A6" s="10" t="s">
        <v>124</v>
      </c>
      <c r="B6" s="10" t="s">
        <v>125</v>
      </c>
      <c r="C6" s="22">
        <v>8</v>
      </c>
      <c r="D6" s="22">
        <v>8</v>
      </c>
      <c r="E6" s="24">
        <v>0</v>
      </c>
      <c r="F6" s="22">
        <v>8</v>
      </c>
      <c r="G6" s="22">
        <v>8</v>
      </c>
      <c r="H6" s="22">
        <v>10</v>
      </c>
      <c r="I6" s="22">
        <v>10</v>
      </c>
      <c r="J6" s="23">
        <f t="shared" si="0"/>
        <v>52</v>
      </c>
    </row>
    <row r="7" spans="1:10" ht="16.5" customHeight="1" x14ac:dyDescent="0.35">
      <c r="A7" s="10" t="s">
        <v>126</v>
      </c>
      <c r="B7" s="10" t="s">
        <v>127</v>
      </c>
      <c r="C7" s="24">
        <v>0</v>
      </c>
      <c r="D7" s="22">
        <v>8</v>
      </c>
      <c r="E7" s="22">
        <v>8</v>
      </c>
      <c r="F7" s="24">
        <v>0</v>
      </c>
      <c r="G7" s="22">
        <v>8</v>
      </c>
      <c r="H7" s="22">
        <v>10</v>
      </c>
      <c r="I7" s="22">
        <v>10</v>
      </c>
      <c r="J7" s="23">
        <f t="shared" si="0"/>
        <v>44</v>
      </c>
    </row>
    <row r="8" spans="1:10" ht="16.5" customHeight="1" x14ac:dyDescent="0.35">
      <c r="A8" s="10" t="s">
        <v>128</v>
      </c>
      <c r="B8" s="10" t="s">
        <v>129</v>
      </c>
      <c r="C8" s="22">
        <v>8</v>
      </c>
      <c r="D8" s="22">
        <v>8</v>
      </c>
      <c r="E8" s="22">
        <v>8</v>
      </c>
      <c r="F8" s="22">
        <v>8</v>
      </c>
      <c r="G8" s="22">
        <v>8</v>
      </c>
      <c r="H8" s="24">
        <v>0</v>
      </c>
      <c r="I8" s="24">
        <v>0</v>
      </c>
      <c r="J8" s="23">
        <f t="shared" si="0"/>
        <v>40</v>
      </c>
    </row>
    <row r="9" spans="1:10" ht="16.5" customHeight="1" x14ac:dyDescent="0.35">
      <c r="A9" s="10" t="s">
        <v>130</v>
      </c>
      <c r="B9" s="10" t="s">
        <v>131</v>
      </c>
      <c r="C9" s="24">
        <v>0</v>
      </c>
      <c r="D9" s="24">
        <v>0</v>
      </c>
      <c r="E9" s="22">
        <v>8</v>
      </c>
      <c r="F9" s="22">
        <v>8</v>
      </c>
      <c r="G9" s="22">
        <v>8</v>
      </c>
      <c r="H9" s="22">
        <v>10</v>
      </c>
      <c r="I9" s="22">
        <v>10</v>
      </c>
      <c r="J9" s="23">
        <f t="shared" si="0"/>
        <v>44</v>
      </c>
    </row>
    <row r="10" spans="1:10" ht="19.5" customHeight="1" x14ac:dyDescent="0.35">
      <c r="A10" s="2" t="s">
        <v>132</v>
      </c>
      <c r="B10" s="2"/>
      <c r="C10" s="23">
        <f t="shared" ref="C10:J10" si="1">SUM(C4:C9)</f>
        <v>24</v>
      </c>
      <c r="D10" s="23">
        <f t="shared" si="1"/>
        <v>40</v>
      </c>
      <c r="E10" s="23">
        <f t="shared" si="1"/>
        <v>40</v>
      </c>
      <c r="F10" s="23">
        <f t="shared" si="1"/>
        <v>40</v>
      </c>
      <c r="G10" s="23">
        <f t="shared" si="1"/>
        <v>48</v>
      </c>
      <c r="H10" s="23">
        <f t="shared" si="1"/>
        <v>50</v>
      </c>
      <c r="I10" s="23">
        <f t="shared" si="1"/>
        <v>50</v>
      </c>
      <c r="J10" s="23">
        <f t="shared" si="1"/>
        <v>292</v>
      </c>
    </row>
    <row r="12" spans="1:10" ht="21.75" customHeight="1" x14ac:dyDescent="0.35">
      <c r="A12" s="1" t="s">
        <v>133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16.5" customHeight="1" x14ac:dyDescent="0.35">
      <c r="A13" s="11" t="s">
        <v>134</v>
      </c>
      <c r="B13" s="18">
        <v>25</v>
      </c>
    </row>
    <row r="14" spans="1:10" ht="16.5" customHeight="1" x14ac:dyDescent="0.35">
      <c r="A14" s="11" t="s">
        <v>135</v>
      </c>
      <c r="B14" s="23">
        <f>J10</f>
        <v>292</v>
      </c>
    </row>
    <row r="15" spans="1:10" ht="18" customHeight="1" x14ac:dyDescent="0.35">
      <c r="A15" s="11" t="s">
        <v>136</v>
      </c>
      <c r="B15" s="12">
        <f>B13*B14</f>
        <v>7300</v>
      </c>
    </row>
    <row r="16" spans="1:10" ht="18" customHeight="1" x14ac:dyDescent="0.35">
      <c r="A16" s="11" t="s">
        <v>137</v>
      </c>
      <c r="B16" s="19">
        <f>B15*4.33</f>
        <v>31609</v>
      </c>
    </row>
    <row r="18" spans="1:1" ht="15" customHeight="1" x14ac:dyDescent="0.35">
      <c r="A18" s="13" t="s">
        <v>44</v>
      </c>
    </row>
    <row r="19" spans="1:1" ht="12.75" customHeight="1" x14ac:dyDescent="0.35">
      <c r="A19" s="14" t="s">
        <v>45</v>
      </c>
    </row>
    <row r="20" spans="1:1" ht="12.75" customHeight="1" x14ac:dyDescent="0.35">
      <c r="A20" s="15" t="s">
        <v>46</v>
      </c>
    </row>
    <row r="21" spans="1:1" ht="12.75" customHeight="1" x14ac:dyDescent="0.35">
      <c r="A21" s="16" t="s">
        <v>47</v>
      </c>
    </row>
    <row r="22" spans="1:1" ht="12.75" customHeight="1" x14ac:dyDescent="0.35">
      <c r="A22" s="17" t="s">
        <v>48</v>
      </c>
    </row>
  </sheetData>
  <mergeCells count="3">
    <mergeCell ref="A1:I1"/>
    <mergeCell ref="A10:B10"/>
    <mergeCell ref="A12:J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الغلاف</vt:lpstr>
      <vt:lpstr>تسعير قائمة الطعام</vt:lpstr>
      <vt:lpstr>تكلفة الوصفات</vt:lpstr>
      <vt:lpstr>المبيعات اليومية</vt:lpstr>
      <vt:lpstr>نقطة التعادل</vt:lpstr>
      <vt:lpstr>جدول الوردية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abdullahmonief@outlook.sa</cp:lastModifiedBy>
  <cp:revision>0</cp:revision>
  <dcterms:created xsi:type="dcterms:W3CDTF">2026-06-11T22:05:02Z</dcterms:created>
  <dcterms:modified xsi:type="dcterms:W3CDTF">2026-06-13T17:07:18Z</dcterms:modified>
  <dc:language>en-US</dc:language>
</cp:coreProperties>
</file>