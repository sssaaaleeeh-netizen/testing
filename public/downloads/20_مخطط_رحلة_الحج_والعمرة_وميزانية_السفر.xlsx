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F41D2E5B-7571-4DD6-B2DC-65191A8F19C2}" xr6:coauthVersionLast="47" xr6:coauthVersionMax="47" xr10:uidLastSave="{00000000-0000-0000-0000-000000000000}"/>
  <bookViews>
    <workbookView xWindow="-110" yWindow="-110" windowWidth="19420" windowHeight="10300" tabRatio="500" firstSheet="2" activeTab="5" xr2:uid="{00000000-000D-0000-FFFF-FFFF00000000}"/>
  </bookViews>
  <sheets>
    <sheet name="الغلاف" sheetId="1" r:id="rId1"/>
    <sheet name="ميزانية الرحلة" sheetId="2" r:id="rId2"/>
    <sheet name="قائمة المستلزمات" sheetId="3" r:id="rId3"/>
    <sheet name="جدول المناسك" sheetId="4" r:id="rId4"/>
    <sheet name="خطة ادخار الرحلة" sheetId="5" r:id="rId5"/>
    <sheet name="رحلة العائلة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6" l="1"/>
  <c r="E11" i="6"/>
  <c r="D11" i="6"/>
  <c r="C11" i="6"/>
  <c r="G10" i="6"/>
  <c r="G9" i="6"/>
  <c r="G8" i="6"/>
  <c r="G7" i="6"/>
  <c r="G6" i="6"/>
  <c r="G5" i="6"/>
  <c r="G4" i="6"/>
  <c r="G11" i="6" s="1"/>
  <c r="C12" i="5"/>
  <c r="C13" i="5" s="1"/>
  <c r="B7" i="5"/>
  <c r="B8" i="5" s="1"/>
  <c r="B22" i="2"/>
  <c r="D17" i="2"/>
  <c r="E17" i="2" s="1"/>
  <c r="D16" i="2"/>
  <c r="E16" i="2" s="1"/>
  <c r="E15" i="2"/>
  <c r="D15" i="2"/>
  <c r="D14" i="2"/>
  <c r="E14" i="2" s="1"/>
  <c r="D13" i="2"/>
  <c r="E13" i="2" s="1"/>
  <c r="D12" i="2"/>
  <c r="E12" i="2" s="1"/>
  <c r="E11" i="2"/>
  <c r="D11" i="2"/>
  <c r="D10" i="2"/>
  <c r="E10" i="2" s="1"/>
  <c r="D9" i="2"/>
  <c r="E9" i="2" s="1"/>
  <c r="D8" i="2"/>
  <c r="E8" i="2" s="1"/>
  <c r="E7" i="2"/>
  <c r="D7" i="2"/>
  <c r="E18" i="2" l="1"/>
  <c r="D13" i="5"/>
  <c r="C14" i="5"/>
  <c r="E13" i="5"/>
  <c r="D12" i="5"/>
  <c r="E12" i="5"/>
  <c r="D14" i="5" l="1"/>
  <c r="E14" i="5"/>
  <c r="C15" i="5"/>
  <c r="B24" i="2"/>
  <c r="A25" i="2"/>
  <c r="B23" i="2"/>
  <c r="B21" i="2"/>
  <c r="C16" i="5" l="1"/>
  <c r="E15" i="5"/>
  <c r="D15" i="5"/>
  <c r="C17" i="5" l="1"/>
  <c r="E16" i="5"/>
  <c r="D16" i="5"/>
  <c r="D17" i="5" l="1"/>
  <c r="C18" i="5"/>
  <c r="E17" i="5"/>
  <c r="E18" i="5" l="1"/>
  <c r="C19" i="5"/>
  <c r="D18" i="5"/>
  <c r="E19" i="5" l="1"/>
  <c r="D19" i="5"/>
  <c r="C20" i="5"/>
  <c r="C21" i="5" l="1"/>
  <c r="E20" i="5"/>
  <c r="D20" i="5"/>
  <c r="D21" i="5" l="1"/>
  <c r="C22" i="5"/>
  <c r="E21" i="5"/>
  <c r="D22" i="5" l="1"/>
  <c r="C23" i="5"/>
  <c r="E22" i="5"/>
  <c r="E23" i="5" l="1"/>
  <c r="D23" i="5"/>
</calcChain>
</file>

<file path=xl/sharedStrings.xml><?xml version="1.0" encoding="utf-8"?>
<sst xmlns="http://schemas.openxmlformats.org/spreadsheetml/2006/main" count="343" uniqueCount="198">
  <si>
    <t>مخطط رحلة الحج والعمرة وميزانية السفر</t>
  </si>
  <si>
    <t>خطط رحلتك الإيمانية بطمأنينة – نظّم ميزانيتك ومناسكك ومستلزماتك</t>
  </si>
  <si>
    <t>🕋 ميزانية الرحلة</t>
  </si>
  <si>
    <t>📋 قائمة المستلزمات</t>
  </si>
  <si>
    <t>🗓️ جدول المناسك</t>
  </si>
  <si>
    <t>كل التكاليف بوضوح</t>
  </si>
  <si>
    <t>لا تنسَ شيئاً</t>
  </si>
  <si>
    <t>خطوة بخطوة</t>
  </si>
  <si>
    <t>💰 خطة الادخار</t>
  </si>
  <si>
    <t>👨‍👩‍👧 رحلة العائلة</t>
  </si>
  <si>
    <t>✅ قائمة التحقق</t>
  </si>
  <si>
    <t>ادّخر لرحلتك</t>
  </si>
  <si>
    <t>تكلفة كل فرد</t>
  </si>
  <si>
    <t>استعداد كامل</t>
  </si>
  <si>
    <t>ميزانية رحلة الحج / العمرة</t>
  </si>
  <si>
    <t>نوع الرحلة</t>
  </si>
  <si>
    <t>عمرة</t>
  </si>
  <si>
    <t>عدد الأفراد</t>
  </si>
  <si>
    <t>عدد الأيام</t>
  </si>
  <si>
    <t>الميزانية المتاحة (ريال)</t>
  </si>
  <si>
    <t>بند التكلفة</t>
  </si>
  <si>
    <t>الفئة</t>
  </si>
  <si>
    <t>تكلفة الفرد (ريال)</t>
  </si>
  <si>
    <t>العدد</t>
  </si>
  <si>
    <t>الإجمالي (ريال)</t>
  </si>
  <si>
    <t>الحالة</t>
  </si>
  <si>
    <t>ملاحظات</t>
  </si>
  <si>
    <t>تصريح العمرة/الحج</t>
  </si>
  <si>
    <t>رسوم</t>
  </si>
  <si>
    <t>⏳ مخطط</t>
  </si>
  <si>
    <t>النقل (طيران/برّي)</t>
  </si>
  <si>
    <t>مواصلات</t>
  </si>
  <si>
    <t>السكن في مكة</t>
  </si>
  <si>
    <t>إقامة</t>
  </si>
  <si>
    <t>السكن في المدينة</t>
  </si>
  <si>
    <t>النقل الداخلي والتنقلات</t>
  </si>
  <si>
    <t>الإعاشة والوجبات</t>
  </si>
  <si>
    <t>معيشة</t>
  </si>
  <si>
    <t>الهدي/الأضحية (للحج)</t>
  </si>
  <si>
    <t>مناسك</t>
  </si>
  <si>
    <t>ملابس الإحرام والمستلزمات</t>
  </si>
  <si>
    <t>مستلزمات</t>
  </si>
  <si>
    <t>الهدايا والتذكارات</t>
  </si>
  <si>
    <t>أخرى</t>
  </si>
  <si>
    <t>التأمين الصحي للسفر</t>
  </si>
  <si>
    <t>تأمين</t>
  </si>
  <si>
    <t>مصاريف طوارئ</t>
  </si>
  <si>
    <t>احتياطي</t>
  </si>
  <si>
    <t>إجمالي تكلفة الرحلة</t>
  </si>
  <si>
    <t>ملخص الميزانية</t>
  </si>
  <si>
    <t>التكلفة الإجمالية للرحلة (ريال)</t>
  </si>
  <si>
    <t>الفائض/العجز (ريال)</t>
  </si>
  <si>
    <t>تكلفة الفرد الواحد (ريال)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</si>
  <si>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</si>
  <si>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</si>
  <si>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</si>
  <si>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</si>
  <si>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</si>
  <si>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قائمة مستلزمات الحج والعمرة</t>
  </si>
  <si>
    <t>وثائق ومستندات</t>
  </si>
  <si>
    <t>المستلزم</t>
  </si>
  <si>
    <t>الكمية</t>
  </si>
  <si>
    <t>محضّر؟</t>
  </si>
  <si>
    <t>في الحقيبة؟</t>
  </si>
  <si>
    <t>الهوية الوطنية/الجواز</t>
  </si>
  <si>
    <t>☐</t>
  </si>
  <si>
    <t>تصريح الحج/العمرة</t>
  </si>
  <si>
    <t>تذاكر السفر</t>
  </si>
  <si>
    <t>إثبات الحجز الفندقي</t>
  </si>
  <si>
    <t>بطاقة التأمين الصحي</t>
  </si>
  <si>
    <t>نسخ احتياطية للوثائق</t>
  </si>
  <si>
    <t>ملابس الإحرام</t>
  </si>
  <si>
    <t>إزار ورداء (للرجال)</t>
  </si>
  <si>
    <t>ملابس محتشمة (للنساء)</t>
  </si>
  <si>
    <t>حزام للإحرام</t>
  </si>
  <si>
    <t>نعال/شبشب مريح</t>
  </si>
  <si>
    <t>ملابس داخلية كافية</t>
  </si>
  <si>
    <t>ملابس للطقس</t>
  </si>
  <si>
    <t>أدوات النظافة</t>
  </si>
  <si>
    <t>صابون بدون رائحة</t>
  </si>
  <si>
    <t>معجون وفرشاة أسنان</t>
  </si>
  <si>
    <t>مناديل مبللة</t>
  </si>
  <si>
    <t>منشفة صغيرة</t>
  </si>
  <si>
    <t>مشط</t>
  </si>
  <si>
    <t>قص أظافر</t>
  </si>
  <si>
    <t>أدوية وإسعافات</t>
  </si>
  <si>
    <t>الأدوية الشخصية</t>
  </si>
  <si>
    <t>مسكنات الألم</t>
  </si>
  <si>
    <t>لاصقات طبية</t>
  </si>
  <si>
    <t>كريم للقدمين</t>
  </si>
  <si>
    <t>مرطب الشفاه</t>
  </si>
  <si>
    <t>معقم اليدين</t>
  </si>
  <si>
    <t>مستلزمات عامة</t>
  </si>
  <si>
    <t>حقيبة صغيرة للظهر</t>
  </si>
  <si>
    <t>مظلة شمسية</t>
  </si>
  <si>
    <t>زجاجة ماء</t>
  </si>
  <si>
    <t>سجادة صلاة صغيرة</t>
  </si>
  <si>
    <t>مصحف صغير/تطبيق</t>
  </si>
  <si>
    <t>شاحن وبطارية محمولة</t>
  </si>
  <si>
    <t>كمامات</t>
  </si>
  <si>
    <t>دليل وجدول المناسك</t>
  </si>
  <si>
    <t>دليل استرشادي – يُرجى الرجوع لكتب الفقه والمرشدين المعتمدين للتفاصيل الشرعية</t>
  </si>
  <si>
    <t>مناسك العمرة</t>
  </si>
  <si>
    <t>الترتيب</t>
  </si>
  <si>
    <t>المنسك</t>
  </si>
  <si>
    <t>الوصف</t>
  </si>
  <si>
    <t>المكان</t>
  </si>
  <si>
    <t>تم؟</t>
  </si>
  <si>
    <t>1</t>
  </si>
  <si>
    <t>الإحرام</t>
  </si>
  <si>
    <t>النية ولبس ملابس الإحرام من الميقات</t>
  </si>
  <si>
    <t>الميقات</t>
  </si>
  <si>
    <t>2</t>
  </si>
  <si>
    <t>التلبية</t>
  </si>
  <si>
    <t>ترديد: لبيك اللهم لبيك</t>
  </si>
  <si>
    <t>الطريق إلى مكة</t>
  </si>
  <si>
    <t>3</t>
  </si>
  <si>
    <t>الطواف</t>
  </si>
  <si>
    <t>الطواف حول الكعبة 7 أشواط</t>
  </si>
  <si>
    <t>المسجد الحرام</t>
  </si>
  <si>
    <t>4</t>
  </si>
  <si>
    <t>ركعتا الطواف</t>
  </si>
  <si>
    <t>الصلاة خلف مقام إبراهيم</t>
  </si>
  <si>
    <t>5</t>
  </si>
  <si>
    <t>السعي</t>
  </si>
  <si>
    <t>السعي بين الصفا والمروة 7 أشواط</t>
  </si>
  <si>
    <t>المسعى</t>
  </si>
  <si>
    <t>6</t>
  </si>
  <si>
    <t>الحلق/التقصير</t>
  </si>
  <si>
    <t>حلق الشعر أو تقصيره</t>
  </si>
  <si>
    <t>مكة</t>
  </si>
  <si>
    <t>مناسك الحج (أيام التشريق)</t>
  </si>
  <si>
    <t>اليوم</t>
  </si>
  <si>
    <t>8 ذو الحجة</t>
  </si>
  <si>
    <t>التوجه لمنى</t>
  </si>
  <si>
    <t>المبيت والصلاة</t>
  </si>
  <si>
    <t>منى</t>
  </si>
  <si>
    <t>9 ذو الحجة</t>
  </si>
  <si>
    <t>الوقوف بعرفة</t>
  </si>
  <si>
    <t>الركن الأعظم للحج</t>
  </si>
  <si>
    <t>عرفة</t>
  </si>
  <si>
    <t>المبيت بمزدلفة</t>
  </si>
  <si>
    <t>جمع المغرب والعشاء</t>
  </si>
  <si>
    <t>مزدلفة</t>
  </si>
  <si>
    <t>10 ذو الحجة</t>
  </si>
  <si>
    <t>رمي جمرة العقبة</t>
  </si>
  <si>
    <t>رمي 7 حصيات</t>
  </si>
  <si>
    <t>الهدي والحلق</t>
  </si>
  <si>
    <t>ذبح الهدي والتحلل</t>
  </si>
  <si>
    <t>طواف الإفاضة</t>
  </si>
  <si>
    <t>الطواف والسعي</t>
  </si>
  <si>
    <t>11-13 ذو الحجة</t>
  </si>
  <si>
    <t>رمي الجمرات</t>
  </si>
  <si>
    <t>رمي الجمرات الثلاث</t>
  </si>
  <si>
    <t>13 ذو الحجة</t>
  </si>
  <si>
    <t>طواف الوداع</t>
  </si>
  <si>
    <t>آخر المناسك</t>
  </si>
  <si>
    <t>خطة الادخار لرحلة الحج / العمرة</t>
  </si>
  <si>
    <t>هدف الادخار</t>
  </si>
  <si>
    <t>التكلفة المستهدفة للرحلة (ريال)</t>
  </si>
  <si>
    <t>المبلغ المتوفر حالياً (ريال)</t>
  </si>
  <si>
    <t>عدد الأشهر حتى الرحلة</t>
  </si>
  <si>
    <t>المبلغ المتبقي (ريال)</t>
  </si>
  <si>
    <t>⭐ الادخار الشهري المطلوب (ريال)</t>
  </si>
  <si>
    <t>جدول متابعة الادخار</t>
  </si>
  <si>
    <t>الشهر</t>
  </si>
  <si>
    <t>المبلغ المدخر (ريال)</t>
  </si>
  <si>
    <t>التراكمي (ريال)</t>
  </si>
  <si>
    <t>المتبقي للهدف (ريال)</t>
  </si>
  <si>
    <t>نسبة الإنجاز %</t>
  </si>
  <si>
    <t>الشهر 1</t>
  </si>
  <si>
    <t>الشهر 2</t>
  </si>
  <si>
    <t>الشهر 3</t>
  </si>
  <si>
    <t>الشهر 4</t>
  </si>
  <si>
    <t>الشهر 5</t>
  </si>
  <si>
    <t>الشهر 6</t>
  </si>
  <si>
    <t>الشهر 7</t>
  </si>
  <si>
    <t>الشهر 8</t>
  </si>
  <si>
    <t>الشهر 9</t>
  </si>
  <si>
    <t>الشهر 10</t>
  </si>
  <si>
    <t>الشهر 11</t>
  </si>
  <si>
    <t>الشهر 12</t>
  </si>
  <si>
    <t>حاسبة تكلفة رحلة العائلة</t>
  </si>
  <si>
    <t>الفرد</t>
  </si>
  <si>
    <t>العمر/الفئة</t>
  </si>
  <si>
    <t>التصريح (ريال)</t>
  </si>
  <si>
    <t>النقل (ريال)</t>
  </si>
  <si>
    <t>الإقامة (ريال)</t>
  </si>
  <si>
    <t>الإعاشة (ريال)</t>
  </si>
  <si>
    <t>إجمالي الفرد (ريال)</t>
  </si>
  <si>
    <t>الأب</t>
  </si>
  <si>
    <t>بالغ</t>
  </si>
  <si>
    <t>الأم</t>
  </si>
  <si>
    <t>ابن 1</t>
  </si>
  <si>
    <t>بنت 1</t>
  </si>
  <si>
    <t>ابن 2</t>
  </si>
  <si>
    <t>طفل</t>
  </si>
  <si>
    <t>إجمالي العائلة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</si>
</sst>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9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i/>
      <sz val="9"/>
      <color rgb="FF2E5FA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7D32"/>
        <bgColor rgb="FF008000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2E5FA3"/>
        <bgColor rgb="FF3366FF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6" fillId="6" borderId="2" xfId="0" applyFont="1" applyFill="1" applyBorder="1" applyAlignment="1">
      <alignment horizontal="left" vertical="center" wrapText="1"/>
    </xf>
    <xf numFmtId="49" fontId="7" fillId="5" borderId="2" xfId="0" applyNumberFormat="1" applyFont="1" applyFill="1" applyBorder="1" applyAlignment="1">
      <alignment horizontal="right" vertical="center"/>
    </xf>
    <xf numFmtId="1" fontId="7" fillId="5" borderId="2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4" fillId="0" borderId="0" xfId="0" applyFont="1"/>
    <xf numFmtId="0" fontId="15" fillId="5" borderId="2" xfId="0" applyFont="1" applyFill="1" applyBorder="1"/>
    <xf numFmtId="0" fontId="16" fillId="7" borderId="2" xfId="0" applyFont="1" applyFill="1" applyBorder="1"/>
    <xf numFmtId="0" fontId="17" fillId="9" borderId="2" xfId="0" applyFont="1" applyFill="1" applyBorder="1"/>
    <xf numFmtId="0" fontId="18" fillId="10" borderId="2" xfId="0" applyFont="1" applyFill="1" applyBorder="1"/>
    <xf numFmtId="0" fontId="12" fillId="6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6" borderId="2" xfId="0" applyFont="1" applyFill="1" applyBorder="1" applyAlignment="1" applyProtection="1">
      <alignment horizontal="left" vertical="center" wrapText="1"/>
      <protection locked="0"/>
    </xf>
    <xf numFmtId="49" fontId="7" fillId="5" borderId="2" xfId="0" applyNumberFormat="1" applyFont="1" applyFill="1" applyBorder="1" applyAlignment="1" applyProtection="1">
      <alignment horizontal="right" vertical="center"/>
      <protection locked="0"/>
    </xf>
    <xf numFmtId="1" fontId="7" fillId="5" borderId="2" xfId="0" applyNumberFormat="1" applyFont="1" applyFill="1" applyBorder="1" applyAlignment="1" applyProtection="1">
      <alignment horizontal="right" vertical="center"/>
      <protection locked="0"/>
    </xf>
    <xf numFmtId="3" fontId="7" fillId="5" borderId="2" xfId="0" applyNumberFormat="1" applyFont="1" applyFill="1" applyBorder="1" applyAlignment="1" applyProtection="1">
      <alignment horizontal="right" vertical="center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6" fillId="5" borderId="2" xfId="0" applyFont="1" applyFill="1" applyBorder="1" applyAlignment="1" applyProtection="1">
      <alignment horizontal="left" vertical="center" wrapText="1"/>
      <protection locked="0"/>
    </xf>
    <xf numFmtId="0" fontId="6" fillId="7" borderId="2" xfId="0" applyFont="1" applyFill="1" applyBorder="1" applyAlignment="1" applyProtection="1">
      <alignment horizontal="left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3" fillId="8" borderId="2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Protection="1">
      <protection locked="0"/>
    </xf>
    <xf numFmtId="0" fontId="15" fillId="5" borderId="2" xfId="0" applyFont="1" applyFill="1" applyBorder="1" applyProtection="1">
      <protection locked="0"/>
    </xf>
    <xf numFmtId="0" fontId="16" fillId="7" borderId="2" xfId="0" applyFont="1" applyFill="1" applyBorder="1" applyProtection="1">
      <protection locked="0"/>
    </xf>
    <xf numFmtId="0" fontId="17" fillId="9" borderId="2" xfId="0" applyFont="1" applyFill="1" applyBorder="1" applyProtection="1">
      <protection locked="0"/>
    </xf>
    <xf numFmtId="0" fontId="18" fillId="10" borderId="2" xfId="0" applyFont="1" applyFill="1" applyBorder="1" applyProtection="1">
      <protection locked="0"/>
    </xf>
    <xf numFmtId="1" fontId="6" fillId="7" borderId="2" xfId="0" applyNumberFormat="1" applyFont="1" applyFill="1" applyBorder="1" applyAlignment="1" applyProtection="1">
      <alignment horizontal="right" vertical="center"/>
      <protection locked="0" hidden="1"/>
    </xf>
    <xf numFmtId="3" fontId="6" fillId="7" borderId="2" xfId="0" applyNumberFormat="1" applyFont="1" applyFill="1" applyBorder="1" applyAlignment="1" applyProtection="1">
      <alignment horizontal="right" vertical="center"/>
      <protection locked="0" hidden="1"/>
    </xf>
    <xf numFmtId="4" fontId="10" fillId="9" borderId="3" xfId="0" applyNumberFormat="1" applyFont="1" applyFill="1" applyBorder="1" applyAlignment="1" applyProtection="1">
      <alignment horizontal="right" vertical="center"/>
      <protection locked="0" hidden="1"/>
    </xf>
    <xf numFmtId="0" fontId="13" fillId="9" borderId="4" xfId="0" applyFont="1" applyFill="1" applyBorder="1" applyAlignment="1" applyProtection="1">
      <alignment horizontal="center" vertical="center" wrapText="1"/>
      <protection locked="0" hidden="1"/>
    </xf>
    <xf numFmtId="0" fontId="11" fillId="8" borderId="2" xfId="0" applyFont="1" applyFill="1" applyBorder="1" applyAlignment="1" applyProtection="1">
      <alignment horizontal="center" vertical="center" wrapText="1"/>
      <protection locked="0"/>
    </xf>
    <xf numFmtId="9" fontId="6" fillId="7" borderId="2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2E7D32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6.5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6.5" customHeight="1" x14ac:dyDescent="0.3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16.5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16.5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16.5" customHeight="1" x14ac:dyDescent="0.35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</row>
    <row r="7" spans="1:10" ht="16.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3" customHeight="1" x14ac:dyDescent="0.3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ht="18.75" customHeight="1" x14ac:dyDescent="0.35">
      <c r="B9" s="5" t="s">
        <v>2</v>
      </c>
      <c r="C9" s="5"/>
      <c r="D9" s="5"/>
      <c r="E9" s="5" t="s">
        <v>3</v>
      </c>
      <c r="F9" s="5"/>
      <c r="G9" s="5"/>
      <c r="H9" s="5" t="s">
        <v>4</v>
      </c>
      <c r="I9" s="5"/>
      <c r="J9" s="5"/>
    </row>
    <row r="10" spans="1:10" ht="15" customHeight="1" x14ac:dyDescent="0.35">
      <c r="B10" s="4" t="s">
        <v>5</v>
      </c>
      <c r="C10" s="4"/>
      <c r="D10" s="4"/>
      <c r="E10" s="4" t="s">
        <v>6</v>
      </c>
      <c r="F10" s="4"/>
      <c r="G10" s="4"/>
      <c r="H10" s="4" t="s">
        <v>7</v>
      </c>
      <c r="I10" s="4"/>
      <c r="J10" s="4"/>
    </row>
    <row r="11" spans="1:10" ht="16.5" customHeight="1" x14ac:dyDescent="0.35"/>
    <row r="12" spans="1:10" ht="16.5" customHeight="1" x14ac:dyDescent="0.35"/>
    <row r="13" spans="1:10" ht="18.75" customHeight="1" x14ac:dyDescent="0.35">
      <c r="B13" s="5" t="s">
        <v>8</v>
      </c>
      <c r="C13" s="5"/>
      <c r="D13" s="5"/>
      <c r="E13" s="5" t="s">
        <v>9</v>
      </c>
      <c r="F13" s="5"/>
      <c r="G13" s="5"/>
      <c r="H13" s="5" t="s">
        <v>10</v>
      </c>
      <c r="I13" s="5"/>
      <c r="J13" s="5"/>
    </row>
    <row r="14" spans="1:10" ht="15" customHeight="1" x14ac:dyDescent="0.35">
      <c r="B14" s="4" t="s">
        <v>11</v>
      </c>
      <c r="C14" s="4"/>
      <c r="D14" s="4"/>
      <c r="E14" s="4" t="s">
        <v>12</v>
      </c>
      <c r="F14" s="4"/>
      <c r="G14" s="4"/>
      <c r="H14" s="4" t="s">
        <v>13</v>
      </c>
      <c r="I14" s="4"/>
      <c r="J14" s="4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rightToLeft="1" topLeftCell="A12" zoomScaleNormal="100" workbookViewId="0">
      <selection activeCell="A25" sqref="A25:G26"/>
    </sheetView>
  </sheetViews>
  <sheetFormatPr defaultColWidth="8.6328125" defaultRowHeight="14.5" x14ac:dyDescent="0.35"/>
  <cols>
    <col min="1" max="1" width="26" style="22" customWidth="1"/>
    <col min="2" max="2" width="14" style="22" customWidth="1"/>
    <col min="3" max="3" width="16" style="22" customWidth="1"/>
    <col min="4" max="4" width="8" style="22" customWidth="1"/>
    <col min="5" max="5" width="16" style="22" customWidth="1"/>
    <col min="6" max="6" width="12" style="22" customWidth="1"/>
    <col min="7" max="7" width="16" style="22" customWidth="1"/>
    <col min="8" max="16384" width="8.6328125" style="22"/>
  </cols>
  <sheetData>
    <row r="1" spans="1:7" ht="27.75" customHeight="1" x14ac:dyDescent="0.35">
      <c r="A1" s="21" t="s">
        <v>14</v>
      </c>
      <c r="B1" s="21"/>
      <c r="C1" s="21"/>
      <c r="D1" s="21"/>
      <c r="E1" s="21"/>
      <c r="F1" s="21"/>
      <c r="G1" s="21"/>
    </row>
    <row r="3" spans="1:7" ht="16.5" customHeight="1" x14ac:dyDescent="0.35">
      <c r="A3" s="23" t="s">
        <v>15</v>
      </c>
      <c r="B3" s="24" t="s">
        <v>16</v>
      </c>
      <c r="D3" s="23" t="s">
        <v>17</v>
      </c>
      <c r="E3" s="25">
        <v>1</v>
      </c>
    </row>
    <row r="4" spans="1:7" ht="16.5" customHeight="1" x14ac:dyDescent="0.35">
      <c r="A4" s="23" t="s">
        <v>18</v>
      </c>
      <c r="B4" s="25">
        <v>10</v>
      </c>
      <c r="D4" s="23" t="s">
        <v>19</v>
      </c>
      <c r="E4" s="26">
        <v>8000</v>
      </c>
    </row>
    <row r="6" spans="1:7" ht="19.5" customHeight="1" x14ac:dyDescent="0.35">
      <c r="A6" s="27" t="s">
        <v>20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26</v>
      </c>
    </row>
    <row r="7" spans="1:7" ht="15.75" customHeight="1" x14ac:dyDescent="0.35">
      <c r="A7" s="28" t="s">
        <v>27</v>
      </c>
      <c r="B7" s="29" t="s">
        <v>28</v>
      </c>
      <c r="C7" s="26">
        <v>300</v>
      </c>
      <c r="D7" s="39">
        <f t="shared" ref="D7:D17" si="0">$E$3</f>
        <v>1</v>
      </c>
      <c r="E7" s="40">
        <f t="shared" ref="E7:E17" si="1">C7*D7</f>
        <v>300</v>
      </c>
      <c r="F7" s="30" t="s">
        <v>29</v>
      </c>
      <c r="G7" s="24"/>
    </row>
    <row r="8" spans="1:7" ht="15.75" customHeight="1" x14ac:dyDescent="0.35">
      <c r="A8" s="23" t="s">
        <v>30</v>
      </c>
      <c r="B8" s="29" t="s">
        <v>31</v>
      </c>
      <c r="C8" s="26">
        <v>800</v>
      </c>
      <c r="D8" s="39">
        <f t="shared" si="0"/>
        <v>1</v>
      </c>
      <c r="E8" s="40">
        <f t="shared" si="1"/>
        <v>800</v>
      </c>
      <c r="F8" s="30" t="s">
        <v>29</v>
      </c>
      <c r="G8" s="24"/>
    </row>
    <row r="9" spans="1:7" ht="15.75" customHeight="1" x14ac:dyDescent="0.35">
      <c r="A9" s="28" t="s">
        <v>32</v>
      </c>
      <c r="B9" s="29" t="s">
        <v>33</v>
      </c>
      <c r="C9" s="26">
        <v>1500</v>
      </c>
      <c r="D9" s="39">
        <f t="shared" si="0"/>
        <v>1</v>
      </c>
      <c r="E9" s="40">
        <f t="shared" si="1"/>
        <v>1500</v>
      </c>
      <c r="F9" s="30" t="s">
        <v>29</v>
      </c>
      <c r="G9" s="24"/>
    </row>
    <row r="10" spans="1:7" ht="15.75" customHeight="1" x14ac:dyDescent="0.35">
      <c r="A10" s="23" t="s">
        <v>34</v>
      </c>
      <c r="B10" s="29" t="s">
        <v>33</v>
      </c>
      <c r="C10" s="26">
        <v>800</v>
      </c>
      <c r="D10" s="39">
        <f t="shared" si="0"/>
        <v>1</v>
      </c>
      <c r="E10" s="40">
        <f t="shared" si="1"/>
        <v>800</v>
      </c>
      <c r="F10" s="30" t="s">
        <v>29</v>
      </c>
      <c r="G10" s="24"/>
    </row>
    <row r="11" spans="1:7" ht="15.75" customHeight="1" x14ac:dyDescent="0.35">
      <c r="A11" s="28" t="s">
        <v>35</v>
      </c>
      <c r="B11" s="29" t="s">
        <v>31</v>
      </c>
      <c r="C11" s="26">
        <v>400</v>
      </c>
      <c r="D11" s="39">
        <f t="shared" si="0"/>
        <v>1</v>
      </c>
      <c r="E11" s="40">
        <f t="shared" si="1"/>
        <v>400</v>
      </c>
      <c r="F11" s="30" t="s">
        <v>29</v>
      </c>
      <c r="G11" s="24"/>
    </row>
    <row r="12" spans="1:7" ht="15.75" customHeight="1" x14ac:dyDescent="0.35">
      <c r="A12" s="23" t="s">
        <v>36</v>
      </c>
      <c r="B12" s="29" t="s">
        <v>37</v>
      </c>
      <c r="C12" s="26">
        <v>600</v>
      </c>
      <c r="D12" s="39">
        <f t="shared" si="0"/>
        <v>1</v>
      </c>
      <c r="E12" s="40">
        <f t="shared" si="1"/>
        <v>600</v>
      </c>
      <c r="F12" s="30" t="s">
        <v>29</v>
      </c>
      <c r="G12" s="24"/>
    </row>
    <row r="13" spans="1:7" ht="15.75" customHeight="1" x14ac:dyDescent="0.35">
      <c r="A13" s="28" t="s">
        <v>38</v>
      </c>
      <c r="B13" s="29" t="s">
        <v>39</v>
      </c>
      <c r="C13" s="26">
        <v>600</v>
      </c>
      <c r="D13" s="39">
        <f t="shared" si="0"/>
        <v>1</v>
      </c>
      <c r="E13" s="40">
        <f t="shared" si="1"/>
        <v>600</v>
      </c>
      <c r="F13" s="30" t="s">
        <v>29</v>
      </c>
      <c r="G13" s="24"/>
    </row>
    <row r="14" spans="1:7" ht="15.75" customHeight="1" x14ac:dyDescent="0.35">
      <c r="A14" s="23" t="s">
        <v>40</v>
      </c>
      <c r="B14" s="29" t="s">
        <v>41</v>
      </c>
      <c r="C14" s="26">
        <v>200</v>
      </c>
      <c r="D14" s="39">
        <f t="shared" si="0"/>
        <v>1</v>
      </c>
      <c r="E14" s="40">
        <f t="shared" si="1"/>
        <v>200</v>
      </c>
      <c r="F14" s="30" t="s">
        <v>29</v>
      </c>
      <c r="G14" s="24"/>
    </row>
    <row r="15" spans="1:7" ht="15.75" customHeight="1" x14ac:dyDescent="0.35">
      <c r="A15" s="28" t="s">
        <v>42</v>
      </c>
      <c r="B15" s="29" t="s">
        <v>43</v>
      </c>
      <c r="C15" s="26">
        <v>300</v>
      </c>
      <c r="D15" s="39">
        <f t="shared" si="0"/>
        <v>1</v>
      </c>
      <c r="E15" s="40">
        <f t="shared" si="1"/>
        <v>300</v>
      </c>
      <c r="F15" s="30" t="s">
        <v>29</v>
      </c>
      <c r="G15" s="24"/>
    </row>
    <row r="16" spans="1:7" ht="15.75" customHeight="1" x14ac:dyDescent="0.35">
      <c r="A16" s="23" t="s">
        <v>44</v>
      </c>
      <c r="B16" s="29" t="s">
        <v>45</v>
      </c>
      <c r="C16" s="26">
        <v>150</v>
      </c>
      <c r="D16" s="39">
        <f t="shared" si="0"/>
        <v>1</v>
      </c>
      <c r="E16" s="40">
        <f t="shared" si="1"/>
        <v>150</v>
      </c>
      <c r="F16" s="30" t="s">
        <v>29</v>
      </c>
      <c r="G16" s="24"/>
    </row>
    <row r="17" spans="1:7" ht="15.75" customHeight="1" x14ac:dyDescent="0.35">
      <c r="A17" s="28" t="s">
        <v>46</v>
      </c>
      <c r="B17" s="29" t="s">
        <v>47</v>
      </c>
      <c r="C17" s="26">
        <v>400</v>
      </c>
      <c r="D17" s="39">
        <f t="shared" si="0"/>
        <v>1</v>
      </c>
      <c r="E17" s="40">
        <f t="shared" si="1"/>
        <v>400</v>
      </c>
      <c r="F17" s="30" t="s">
        <v>29</v>
      </c>
      <c r="G17" s="24"/>
    </row>
    <row r="18" spans="1:7" ht="19.5" customHeight="1" x14ac:dyDescent="0.35">
      <c r="A18" s="31" t="s">
        <v>48</v>
      </c>
      <c r="B18" s="31"/>
      <c r="C18" s="31"/>
      <c r="D18" s="31"/>
      <c r="E18" s="41">
        <f>SUM(E7:E17)</f>
        <v>6050</v>
      </c>
    </row>
    <row r="20" spans="1:7" ht="21.75" customHeight="1" x14ac:dyDescent="0.35">
      <c r="A20" s="32" t="s">
        <v>49</v>
      </c>
      <c r="B20" s="32"/>
      <c r="C20" s="32"/>
      <c r="D20" s="32"/>
      <c r="E20" s="32"/>
      <c r="F20" s="32"/>
      <c r="G20" s="32"/>
    </row>
    <row r="21" spans="1:7" ht="18" customHeight="1" x14ac:dyDescent="0.35">
      <c r="A21" s="33" t="s">
        <v>50</v>
      </c>
      <c r="B21" s="40">
        <f>E18</f>
        <v>6050</v>
      </c>
    </row>
    <row r="22" spans="1:7" ht="18" customHeight="1" x14ac:dyDescent="0.35">
      <c r="A22" s="33" t="s">
        <v>19</v>
      </c>
      <c r="B22" s="40">
        <f>E4</f>
        <v>8000</v>
      </c>
    </row>
    <row r="23" spans="1:7" ht="18" customHeight="1" x14ac:dyDescent="0.35">
      <c r="A23" s="33" t="s">
        <v>51</v>
      </c>
      <c r="B23" s="41">
        <f>E4-E18</f>
        <v>1950</v>
      </c>
    </row>
    <row r="24" spans="1:7" ht="18" customHeight="1" x14ac:dyDescent="0.35">
      <c r="A24" s="33" t="s">
        <v>52</v>
      </c>
      <c r="B24" s="40">
        <f>IF(E3=0,0,E18/E3)</f>
        <v>6050</v>
      </c>
    </row>
    <row r="25" spans="1:7" ht="25.5" customHeight="1" x14ac:dyDescent="0.35">
      <c r="A25" s="42" t="str">
        <f>IF(E4-E18&gt;=0,"✅ ميزانيتك كافية – لديك فائض "&amp;TEXT(E4-E18,"#,##0")&amp;" ريال","⚠️ تحتاج "&amp;TEXT(E18-E4,"#,##0")&amp;" ريال إضافية – راجع البنود أو زد ادخارك")</f>
        <v>✅ ميزانيتك كافية – لديك فائض 1,950 ريال</v>
      </c>
      <c r="B25" s="42"/>
      <c r="C25" s="42"/>
      <c r="D25" s="42"/>
      <c r="E25" s="42"/>
      <c r="F25" s="42"/>
      <c r="G25" s="42"/>
    </row>
    <row r="26" spans="1:7" ht="15" customHeight="1" x14ac:dyDescent="0.35">
      <c r="A26" s="42"/>
      <c r="B26" s="42"/>
      <c r="C26" s="42"/>
      <c r="D26" s="42"/>
      <c r="E26" s="42"/>
      <c r="F26" s="42"/>
      <c r="G26" s="42"/>
    </row>
    <row r="28" spans="1:7" ht="15" customHeight="1" x14ac:dyDescent="0.35">
      <c r="A28" s="34" t="s">
        <v>53</v>
      </c>
    </row>
    <row r="29" spans="1:7" ht="12.75" customHeight="1" x14ac:dyDescent="0.35">
      <c r="A29" s="35" t="s">
        <v>54</v>
      </c>
    </row>
    <row r="30" spans="1:7" ht="12.75" customHeight="1" x14ac:dyDescent="0.35">
      <c r="A30" s="36" t="s">
        <v>55</v>
      </c>
    </row>
    <row r="31" spans="1:7" ht="12.75" customHeight="1" x14ac:dyDescent="0.35">
      <c r="A31" s="37" t="s">
        <v>56</v>
      </c>
    </row>
    <row r="32" spans="1:7" ht="12.75" customHeight="1" x14ac:dyDescent="0.35">
      <c r="A32" s="38" t="s">
        <v>57</v>
      </c>
    </row>
  </sheetData>
  <sheetProtection algorithmName="SHA-512" hashValue="d/5URK6GqJBtKoByGuP+19dNODJyxfZb7qOOdgVVQvkfIf6duZMIg1rmeq2ZJvBMtxNklmLCmIejrheHJBLY6Q==" saltValue="zmgb6a505yVAiKlXnu7LQw==" spinCount="100000" sheet="1" objects="1" scenarios="1"/>
  <mergeCells count="4">
    <mergeCell ref="A1:G1"/>
    <mergeCell ref="A18:D18"/>
    <mergeCell ref="A20:G20"/>
    <mergeCell ref="A25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"/>
  <sheetViews>
    <sheetView rightToLeft="1" topLeftCell="A35" zoomScaleNormal="100" workbookViewId="0">
      <selection sqref="A1:E1"/>
    </sheetView>
  </sheetViews>
  <sheetFormatPr defaultColWidth="8.6328125" defaultRowHeight="14.5" x14ac:dyDescent="0.35"/>
  <cols>
    <col min="1" max="1" width="28" customWidth="1"/>
    <col min="2" max="2" width="10" customWidth="1"/>
    <col min="3" max="3" width="12" customWidth="1"/>
    <col min="4" max="4" width="14" customWidth="1"/>
    <col min="5" max="5" width="18" customWidth="1"/>
  </cols>
  <sheetData>
    <row r="1" spans="1:5" ht="27.75" customHeight="1" x14ac:dyDescent="0.35">
      <c r="A1" s="3" t="s">
        <v>58</v>
      </c>
      <c r="B1" s="3"/>
      <c r="C1" s="3"/>
      <c r="D1" s="3"/>
      <c r="E1" s="3"/>
    </row>
    <row r="3" spans="1:5" ht="21.75" customHeight="1" x14ac:dyDescent="0.35">
      <c r="A3" s="2" t="s">
        <v>59</v>
      </c>
      <c r="B3" s="2"/>
      <c r="C3" s="2"/>
      <c r="D3" s="2"/>
      <c r="E3" s="2"/>
    </row>
    <row r="4" spans="1:5" ht="18" customHeight="1" x14ac:dyDescent="0.35">
      <c r="A4" s="12" t="s">
        <v>60</v>
      </c>
      <c r="B4" s="12" t="s">
        <v>61</v>
      </c>
      <c r="C4" s="12" t="s">
        <v>62</v>
      </c>
      <c r="D4" s="12" t="s">
        <v>63</v>
      </c>
      <c r="E4" s="12" t="s">
        <v>26</v>
      </c>
    </row>
    <row r="5" spans="1:5" ht="15.75" customHeight="1" x14ac:dyDescent="0.35">
      <c r="A5" s="9" t="s">
        <v>64</v>
      </c>
      <c r="B5" s="11">
        <v>1</v>
      </c>
      <c r="C5" s="10" t="s">
        <v>65</v>
      </c>
      <c r="D5" s="10" t="s">
        <v>65</v>
      </c>
      <c r="E5" s="10"/>
    </row>
    <row r="6" spans="1:5" ht="15.75" customHeight="1" x14ac:dyDescent="0.35">
      <c r="A6" s="9" t="s">
        <v>66</v>
      </c>
      <c r="B6" s="11">
        <v>1</v>
      </c>
      <c r="C6" s="10" t="s">
        <v>65</v>
      </c>
      <c r="D6" s="10" t="s">
        <v>65</v>
      </c>
      <c r="E6" s="10"/>
    </row>
    <row r="7" spans="1:5" ht="15.75" customHeight="1" x14ac:dyDescent="0.35">
      <c r="A7" s="9" t="s">
        <v>67</v>
      </c>
      <c r="B7" s="11">
        <v>1</v>
      </c>
      <c r="C7" s="10" t="s">
        <v>65</v>
      </c>
      <c r="D7" s="10" t="s">
        <v>65</v>
      </c>
      <c r="E7" s="10"/>
    </row>
    <row r="8" spans="1:5" ht="15.75" customHeight="1" x14ac:dyDescent="0.35">
      <c r="A8" s="9" t="s">
        <v>68</v>
      </c>
      <c r="B8" s="11">
        <v>1</v>
      </c>
      <c r="C8" s="10" t="s">
        <v>65</v>
      </c>
      <c r="D8" s="10" t="s">
        <v>65</v>
      </c>
      <c r="E8" s="10"/>
    </row>
    <row r="9" spans="1:5" ht="15.75" customHeight="1" x14ac:dyDescent="0.35">
      <c r="A9" s="9" t="s">
        <v>69</v>
      </c>
      <c r="B9" s="11">
        <v>1</v>
      </c>
      <c r="C9" s="10" t="s">
        <v>65</v>
      </c>
      <c r="D9" s="10" t="s">
        <v>65</v>
      </c>
      <c r="E9" s="10"/>
    </row>
    <row r="10" spans="1:5" ht="15.75" customHeight="1" x14ac:dyDescent="0.35">
      <c r="A10" s="9" t="s">
        <v>70</v>
      </c>
      <c r="B10" s="11">
        <v>1</v>
      </c>
      <c r="C10" s="10" t="s">
        <v>65</v>
      </c>
      <c r="D10" s="10" t="s">
        <v>65</v>
      </c>
      <c r="E10" s="10"/>
    </row>
    <row r="12" spans="1:5" ht="21.75" customHeight="1" x14ac:dyDescent="0.35">
      <c r="A12" s="2" t="s">
        <v>71</v>
      </c>
      <c r="B12" s="2"/>
      <c r="C12" s="2"/>
      <c r="D12" s="2"/>
      <c r="E12" s="2"/>
    </row>
    <row r="13" spans="1:5" ht="18" customHeight="1" x14ac:dyDescent="0.35">
      <c r="A13" s="12" t="s">
        <v>60</v>
      </c>
      <c r="B13" s="12" t="s">
        <v>61</v>
      </c>
      <c r="C13" s="12" t="s">
        <v>62</v>
      </c>
      <c r="D13" s="12" t="s">
        <v>63</v>
      </c>
      <c r="E13" s="12" t="s">
        <v>26</v>
      </c>
    </row>
    <row r="14" spans="1:5" ht="15.75" customHeight="1" x14ac:dyDescent="0.35">
      <c r="A14" s="9" t="s">
        <v>72</v>
      </c>
      <c r="B14" s="11">
        <v>1</v>
      </c>
      <c r="C14" s="10" t="s">
        <v>65</v>
      </c>
      <c r="D14" s="10" t="s">
        <v>65</v>
      </c>
      <c r="E14" s="10"/>
    </row>
    <row r="15" spans="1:5" ht="15.75" customHeight="1" x14ac:dyDescent="0.35">
      <c r="A15" s="9" t="s">
        <v>73</v>
      </c>
      <c r="B15" s="11">
        <v>1</v>
      </c>
      <c r="C15" s="10" t="s">
        <v>65</v>
      </c>
      <c r="D15" s="10" t="s">
        <v>65</v>
      </c>
      <c r="E15" s="10"/>
    </row>
    <row r="16" spans="1:5" ht="15.75" customHeight="1" x14ac:dyDescent="0.35">
      <c r="A16" s="9" t="s">
        <v>74</v>
      </c>
      <c r="B16" s="11">
        <v>1</v>
      </c>
      <c r="C16" s="10" t="s">
        <v>65</v>
      </c>
      <c r="D16" s="10" t="s">
        <v>65</v>
      </c>
      <c r="E16" s="10"/>
    </row>
    <row r="17" spans="1:5" ht="15.75" customHeight="1" x14ac:dyDescent="0.35">
      <c r="A17" s="9" t="s">
        <v>75</v>
      </c>
      <c r="B17" s="11">
        <v>1</v>
      </c>
      <c r="C17" s="10" t="s">
        <v>65</v>
      </c>
      <c r="D17" s="10" t="s">
        <v>65</v>
      </c>
      <c r="E17" s="10"/>
    </row>
    <row r="18" spans="1:5" ht="15.75" customHeight="1" x14ac:dyDescent="0.35">
      <c r="A18" s="9" t="s">
        <v>76</v>
      </c>
      <c r="B18" s="11">
        <v>1</v>
      </c>
      <c r="C18" s="10" t="s">
        <v>65</v>
      </c>
      <c r="D18" s="10" t="s">
        <v>65</v>
      </c>
      <c r="E18" s="10"/>
    </row>
    <row r="19" spans="1:5" ht="15.75" customHeight="1" x14ac:dyDescent="0.35">
      <c r="A19" s="9" t="s">
        <v>77</v>
      </c>
      <c r="B19" s="11">
        <v>1</v>
      </c>
      <c r="C19" s="10" t="s">
        <v>65</v>
      </c>
      <c r="D19" s="10" t="s">
        <v>65</v>
      </c>
      <c r="E19" s="10"/>
    </row>
    <row r="21" spans="1:5" ht="21.75" customHeight="1" x14ac:dyDescent="0.35">
      <c r="A21" s="2" t="s">
        <v>78</v>
      </c>
      <c r="B21" s="2"/>
      <c r="C21" s="2"/>
      <c r="D21" s="2"/>
      <c r="E21" s="2"/>
    </row>
    <row r="22" spans="1:5" ht="18" customHeight="1" x14ac:dyDescent="0.35">
      <c r="A22" s="12" t="s">
        <v>60</v>
      </c>
      <c r="B22" s="12" t="s">
        <v>61</v>
      </c>
      <c r="C22" s="12" t="s">
        <v>62</v>
      </c>
      <c r="D22" s="12" t="s">
        <v>63</v>
      </c>
      <c r="E22" s="12" t="s">
        <v>26</v>
      </c>
    </row>
    <row r="23" spans="1:5" ht="15.75" customHeight="1" x14ac:dyDescent="0.35">
      <c r="A23" s="9" t="s">
        <v>79</v>
      </c>
      <c r="B23" s="11">
        <v>1</v>
      </c>
      <c r="C23" s="10" t="s">
        <v>65</v>
      </c>
      <c r="D23" s="10" t="s">
        <v>65</v>
      </c>
      <c r="E23" s="10"/>
    </row>
    <row r="24" spans="1:5" ht="15.75" customHeight="1" x14ac:dyDescent="0.35">
      <c r="A24" s="9" t="s">
        <v>80</v>
      </c>
      <c r="B24" s="11">
        <v>1</v>
      </c>
      <c r="C24" s="10" t="s">
        <v>65</v>
      </c>
      <c r="D24" s="10" t="s">
        <v>65</v>
      </c>
      <c r="E24" s="10"/>
    </row>
    <row r="25" spans="1:5" ht="15.75" customHeight="1" x14ac:dyDescent="0.35">
      <c r="A25" s="9" t="s">
        <v>81</v>
      </c>
      <c r="B25" s="11">
        <v>1</v>
      </c>
      <c r="C25" s="10" t="s">
        <v>65</v>
      </c>
      <c r="D25" s="10" t="s">
        <v>65</v>
      </c>
      <c r="E25" s="10"/>
    </row>
    <row r="26" spans="1:5" ht="15.75" customHeight="1" x14ac:dyDescent="0.35">
      <c r="A26" s="9" t="s">
        <v>82</v>
      </c>
      <c r="B26" s="11">
        <v>1</v>
      </c>
      <c r="C26" s="10" t="s">
        <v>65</v>
      </c>
      <c r="D26" s="10" t="s">
        <v>65</v>
      </c>
      <c r="E26" s="10"/>
    </row>
    <row r="27" spans="1:5" ht="15.75" customHeight="1" x14ac:dyDescent="0.35">
      <c r="A27" s="9" t="s">
        <v>83</v>
      </c>
      <c r="B27" s="11">
        <v>1</v>
      </c>
      <c r="C27" s="10" t="s">
        <v>65</v>
      </c>
      <c r="D27" s="10" t="s">
        <v>65</v>
      </c>
      <c r="E27" s="10"/>
    </row>
    <row r="28" spans="1:5" ht="15.75" customHeight="1" x14ac:dyDescent="0.35">
      <c r="A28" s="9" t="s">
        <v>84</v>
      </c>
      <c r="B28" s="11">
        <v>1</v>
      </c>
      <c r="C28" s="10" t="s">
        <v>65</v>
      </c>
      <c r="D28" s="10" t="s">
        <v>65</v>
      </c>
      <c r="E28" s="10"/>
    </row>
    <row r="30" spans="1:5" ht="21.75" customHeight="1" x14ac:dyDescent="0.35">
      <c r="A30" s="2" t="s">
        <v>85</v>
      </c>
      <c r="B30" s="2"/>
      <c r="C30" s="2"/>
      <c r="D30" s="2"/>
      <c r="E30" s="2"/>
    </row>
    <row r="31" spans="1:5" ht="18" customHeight="1" x14ac:dyDescent="0.35">
      <c r="A31" s="12" t="s">
        <v>60</v>
      </c>
      <c r="B31" s="12" t="s">
        <v>61</v>
      </c>
      <c r="C31" s="12" t="s">
        <v>62</v>
      </c>
      <c r="D31" s="12" t="s">
        <v>63</v>
      </c>
      <c r="E31" s="12" t="s">
        <v>26</v>
      </c>
    </row>
    <row r="32" spans="1:5" ht="15.75" customHeight="1" x14ac:dyDescent="0.35">
      <c r="A32" s="9" t="s">
        <v>86</v>
      </c>
      <c r="B32" s="11">
        <v>1</v>
      </c>
      <c r="C32" s="10" t="s">
        <v>65</v>
      </c>
      <c r="D32" s="10" t="s">
        <v>65</v>
      </c>
      <c r="E32" s="10"/>
    </row>
    <row r="33" spans="1:5" ht="15.75" customHeight="1" x14ac:dyDescent="0.35">
      <c r="A33" s="9" t="s">
        <v>87</v>
      </c>
      <c r="B33" s="11">
        <v>1</v>
      </c>
      <c r="C33" s="10" t="s">
        <v>65</v>
      </c>
      <c r="D33" s="10" t="s">
        <v>65</v>
      </c>
      <c r="E33" s="10"/>
    </row>
    <row r="34" spans="1:5" ht="15.75" customHeight="1" x14ac:dyDescent="0.35">
      <c r="A34" s="9" t="s">
        <v>88</v>
      </c>
      <c r="B34" s="11">
        <v>1</v>
      </c>
      <c r="C34" s="10" t="s">
        <v>65</v>
      </c>
      <c r="D34" s="10" t="s">
        <v>65</v>
      </c>
      <c r="E34" s="10"/>
    </row>
    <row r="35" spans="1:5" ht="15.75" customHeight="1" x14ac:dyDescent="0.35">
      <c r="A35" s="9" t="s">
        <v>89</v>
      </c>
      <c r="B35" s="11">
        <v>1</v>
      </c>
      <c r="C35" s="10" t="s">
        <v>65</v>
      </c>
      <c r="D35" s="10" t="s">
        <v>65</v>
      </c>
      <c r="E35" s="10"/>
    </row>
    <row r="36" spans="1:5" ht="15.75" customHeight="1" x14ac:dyDescent="0.35">
      <c r="A36" s="9" t="s">
        <v>90</v>
      </c>
      <c r="B36" s="11">
        <v>1</v>
      </c>
      <c r="C36" s="10" t="s">
        <v>65</v>
      </c>
      <c r="D36" s="10" t="s">
        <v>65</v>
      </c>
      <c r="E36" s="10"/>
    </row>
    <row r="37" spans="1:5" ht="15.75" customHeight="1" x14ac:dyDescent="0.35">
      <c r="A37" s="9" t="s">
        <v>91</v>
      </c>
      <c r="B37" s="11">
        <v>1</v>
      </c>
      <c r="C37" s="10" t="s">
        <v>65</v>
      </c>
      <c r="D37" s="10" t="s">
        <v>65</v>
      </c>
      <c r="E37" s="10"/>
    </row>
    <row r="39" spans="1:5" ht="21.75" customHeight="1" x14ac:dyDescent="0.35">
      <c r="A39" s="2" t="s">
        <v>92</v>
      </c>
      <c r="B39" s="2"/>
      <c r="C39" s="2"/>
      <c r="D39" s="2"/>
      <c r="E39" s="2"/>
    </row>
    <row r="40" spans="1:5" ht="18" customHeight="1" x14ac:dyDescent="0.35">
      <c r="A40" s="12" t="s">
        <v>60</v>
      </c>
      <c r="B40" s="12" t="s">
        <v>61</v>
      </c>
      <c r="C40" s="12" t="s">
        <v>62</v>
      </c>
      <c r="D40" s="12" t="s">
        <v>63</v>
      </c>
      <c r="E40" s="12" t="s">
        <v>26</v>
      </c>
    </row>
    <row r="41" spans="1:5" ht="15.75" customHeight="1" x14ac:dyDescent="0.35">
      <c r="A41" s="9" t="s">
        <v>93</v>
      </c>
      <c r="B41" s="11">
        <v>1</v>
      </c>
      <c r="C41" s="10" t="s">
        <v>65</v>
      </c>
      <c r="D41" s="10" t="s">
        <v>65</v>
      </c>
      <c r="E41" s="10"/>
    </row>
    <row r="42" spans="1:5" ht="15.75" customHeight="1" x14ac:dyDescent="0.35">
      <c r="A42" s="9" t="s">
        <v>94</v>
      </c>
      <c r="B42" s="11">
        <v>1</v>
      </c>
      <c r="C42" s="10" t="s">
        <v>65</v>
      </c>
      <c r="D42" s="10" t="s">
        <v>65</v>
      </c>
      <c r="E42" s="10"/>
    </row>
    <row r="43" spans="1:5" ht="15.75" customHeight="1" x14ac:dyDescent="0.35">
      <c r="A43" s="9" t="s">
        <v>95</v>
      </c>
      <c r="B43" s="11">
        <v>1</v>
      </c>
      <c r="C43" s="10" t="s">
        <v>65</v>
      </c>
      <c r="D43" s="10" t="s">
        <v>65</v>
      </c>
      <c r="E43" s="10"/>
    </row>
    <row r="44" spans="1:5" ht="15.75" customHeight="1" x14ac:dyDescent="0.35">
      <c r="A44" s="9" t="s">
        <v>96</v>
      </c>
      <c r="B44" s="11">
        <v>1</v>
      </c>
      <c r="C44" s="10" t="s">
        <v>65</v>
      </c>
      <c r="D44" s="10" t="s">
        <v>65</v>
      </c>
      <c r="E44" s="10"/>
    </row>
    <row r="45" spans="1:5" ht="15.75" customHeight="1" x14ac:dyDescent="0.35">
      <c r="A45" s="9" t="s">
        <v>97</v>
      </c>
      <c r="B45" s="11">
        <v>1</v>
      </c>
      <c r="C45" s="10" t="s">
        <v>65</v>
      </c>
      <c r="D45" s="10" t="s">
        <v>65</v>
      </c>
      <c r="E45" s="10"/>
    </row>
    <row r="46" spans="1:5" ht="15.75" customHeight="1" x14ac:dyDescent="0.35">
      <c r="A46" s="9" t="s">
        <v>98</v>
      </c>
      <c r="B46" s="11">
        <v>1</v>
      </c>
      <c r="C46" s="10" t="s">
        <v>65</v>
      </c>
      <c r="D46" s="10" t="s">
        <v>65</v>
      </c>
      <c r="E46" s="10"/>
    </row>
    <row r="47" spans="1:5" ht="15.75" customHeight="1" x14ac:dyDescent="0.35">
      <c r="A47" s="9" t="s">
        <v>99</v>
      </c>
      <c r="B47" s="11">
        <v>1</v>
      </c>
      <c r="C47" s="10" t="s">
        <v>65</v>
      </c>
      <c r="D47" s="10" t="s">
        <v>65</v>
      </c>
      <c r="E47" s="10"/>
    </row>
    <row r="49" spans="1:1" ht="15" customHeight="1" x14ac:dyDescent="0.35">
      <c r="A49" s="15" t="s">
        <v>53</v>
      </c>
    </row>
    <row r="50" spans="1:1" ht="12.75" customHeight="1" x14ac:dyDescent="0.35">
      <c r="A50" s="16" t="s">
        <v>54</v>
      </c>
    </row>
    <row r="51" spans="1:1" ht="12.75" customHeight="1" x14ac:dyDescent="0.35">
      <c r="A51" s="17" t="s">
        <v>55</v>
      </c>
    </row>
    <row r="52" spans="1:1" ht="12.75" customHeight="1" x14ac:dyDescent="0.35">
      <c r="A52" s="18" t="s">
        <v>56</v>
      </c>
    </row>
    <row r="53" spans="1:1" ht="12.75" customHeight="1" x14ac:dyDescent="0.35">
      <c r="A53" s="19" t="s">
        <v>57</v>
      </c>
    </row>
  </sheetData>
  <mergeCells count="6">
    <mergeCell ref="A39:E39"/>
    <mergeCell ref="A1:E1"/>
    <mergeCell ref="A3:E3"/>
    <mergeCell ref="A12:E12"/>
    <mergeCell ref="A21:E21"/>
    <mergeCell ref="A30:E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rightToLeft="1" topLeftCell="A13" zoomScaleNormal="100" workbookViewId="0">
      <selection activeCell="D8" sqref="D8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30" customWidth="1"/>
    <col min="4" max="4" width="16" customWidth="1"/>
    <col min="5" max="5" width="8" customWidth="1"/>
  </cols>
  <sheetData>
    <row r="1" spans="1:5" ht="27.75" customHeight="1" x14ac:dyDescent="0.35">
      <c r="A1" s="3" t="s">
        <v>100</v>
      </c>
      <c r="B1" s="3"/>
      <c r="C1" s="3"/>
      <c r="D1" s="3"/>
      <c r="E1" s="3"/>
    </row>
    <row r="2" spans="1:5" ht="15" customHeight="1" x14ac:dyDescent="0.35">
      <c r="A2" s="1" t="s">
        <v>101</v>
      </c>
      <c r="B2" s="1"/>
      <c r="C2" s="1"/>
      <c r="D2" s="1"/>
      <c r="E2" s="1"/>
    </row>
    <row r="4" spans="1:5" ht="21.75" customHeight="1" x14ac:dyDescent="0.35">
      <c r="A4" s="2" t="s">
        <v>102</v>
      </c>
      <c r="B4" s="2"/>
      <c r="C4" s="2"/>
      <c r="D4" s="2"/>
      <c r="E4" s="2"/>
    </row>
    <row r="5" spans="1:5" ht="18" customHeight="1" x14ac:dyDescent="0.35">
      <c r="A5" s="12" t="s">
        <v>103</v>
      </c>
      <c r="B5" s="12" t="s">
        <v>104</v>
      </c>
      <c r="C5" s="12" t="s">
        <v>105</v>
      </c>
      <c r="D5" s="12" t="s">
        <v>106</v>
      </c>
      <c r="E5" s="12" t="s">
        <v>107</v>
      </c>
    </row>
    <row r="6" spans="1:5" ht="18" customHeight="1" x14ac:dyDescent="0.35">
      <c r="A6" s="13" t="s">
        <v>108</v>
      </c>
      <c r="B6" s="20" t="s">
        <v>109</v>
      </c>
      <c r="C6" s="9" t="s">
        <v>110</v>
      </c>
      <c r="D6" s="14" t="s">
        <v>111</v>
      </c>
      <c r="E6" s="10" t="s">
        <v>65</v>
      </c>
    </row>
    <row r="7" spans="1:5" ht="18" customHeight="1" x14ac:dyDescent="0.35">
      <c r="A7" s="13" t="s">
        <v>112</v>
      </c>
      <c r="B7" s="20" t="s">
        <v>113</v>
      </c>
      <c r="C7" s="9" t="s">
        <v>114</v>
      </c>
      <c r="D7" s="14" t="s">
        <v>115</v>
      </c>
      <c r="E7" s="10" t="s">
        <v>65</v>
      </c>
    </row>
    <row r="8" spans="1:5" ht="18" customHeight="1" x14ac:dyDescent="0.35">
      <c r="A8" s="13" t="s">
        <v>116</v>
      </c>
      <c r="B8" s="20" t="s">
        <v>117</v>
      </c>
      <c r="C8" s="9" t="s">
        <v>118</v>
      </c>
      <c r="D8" s="14" t="s">
        <v>119</v>
      </c>
      <c r="E8" s="10" t="s">
        <v>65</v>
      </c>
    </row>
    <row r="9" spans="1:5" ht="18" customHeight="1" x14ac:dyDescent="0.35">
      <c r="A9" s="13" t="s">
        <v>120</v>
      </c>
      <c r="B9" s="20" t="s">
        <v>121</v>
      </c>
      <c r="C9" s="9" t="s">
        <v>122</v>
      </c>
      <c r="D9" s="14" t="s">
        <v>119</v>
      </c>
      <c r="E9" s="10" t="s">
        <v>65</v>
      </c>
    </row>
    <row r="10" spans="1:5" ht="18" customHeight="1" x14ac:dyDescent="0.35">
      <c r="A10" s="13" t="s">
        <v>123</v>
      </c>
      <c r="B10" s="20" t="s">
        <v>124</v>
      </c>
      <c r="C10" s="9" t="s">
        <v>125</v>
      </c>
      <c r="D10" s="14" t="s">
        <v>126</v>
      </c>
      <c r="E10" s="10" t="s">
        <v>65</v>
      </c>
    </row>
    <row r="11" spans="1:5" ht="18" customHeight="1" x14ac:dyDescent="0.35">
      <c r="A11" s="13" t="s">
        <v>127</v>
      </c>
      <c r="B11" s="20" t="s">
        <v>128</v>
      </c>
      <c r="C11" s="9" t="s">
        <v>129</v>
      </c>
      <c r="D11" s="14" t="s">
        <v>130</v>
      </c>
      <c r="E11" s="10" t="s">
        <v>65</v>
      </c>
    </row>
    <row r="13" spans="1:5" ht="21.75" customHeight="1" x14ac:dyDescent="0.35">
      <c r="A13" s="2" t="s">
        <v>131</v>
      </c>
      <c r="B13" s="2"/>
      <c r="C13" s="2"/>
      <c r="D13" s="2"/>
      <c r="E13" s="2"/>
    </row>
    <row r="14" spans="1:5" ht="18" customHeight="1" x14ac:dyDescent="0.35">
      <c r="A14" s="12" t="s">
        <v>132</v>
      </c>
      <c r="B14" s="12" t="s">
        <v>104</v>
      </c>
      <c r="C14" s="12" t="s">
        <v>105</v>
      </c>
      <c r="D14" s="12" t="s">
        <v>106</v>
      </c>
      <c r="E14" s="12" t="s">
        <v>107</v>
      </c>
    </row>
    <row r="15" spans="1:5" ht="18" customHeight="1" x14ac:dyDescent="0.35">
      <c r="A15" s="13" t="s">
        <v>133</v>
      </c>
      <c r="B15" s="20" t="s">
        <v>134</v>
      </c>
      <c r="C15" s="9" t="s">
        <v>135</v>
      </c>
      <c r="D15" s="14" t="s">
        <v>136</v>
      </c>
      <c r="E15" s="10" t="s">
        <v>65</v>
      </c>
    </row>
    <row r="16" spans="1:5" ht="18" customHeight="1" x14ac:dyDescent="0.35">
      <c r="A16" s="13" t="s">
        <v>137</v>
      </c>
      <c r="B16" s="20" t="s">
        <v>138</v>
      </c>
      <c r="C16" s="9" t="s">
        <v>139</v>
      </c>
      <c r="D16" s="14" t="s">
        <v>140</v>
      </c>
      <c r="E16" s="10" t="s">
        <v>65</v>
      </c>
    </row>
    <row r="17" spans="1:5" ht="18" customHeight="1" x14ac:dyDescent="0.35">
      <c r="A17" s="13" t="s">
        <v>137</v>
      </c>
      <c r="B17" s="20" t="s">
        <v>141</v>
      </c>
      <c r="C17" s="9" t="s">
        <v>142</v>
      </c>
      <c r="D17" s="14" t="s">
        <v>143</v>
      </c>
      <c r="E17" s="10" t="s">
        <v>65</v>
      </c>
    </row>
    <row r="18" spans="1:5" ht="18" customHeight="1" x14ac:dyDescent="0.35">
      <c r="A18" s="13" t="s">
        <v>144</v>
      </c>
      <c r="B18" s="20" t="s">
        <v>145</v>
      </c>
      <c r="C18" s="9" t="s">
        <v>146</v>
      </c>
      <c r="D18" s="14" t="s">
        <v>136</v>
      </c>
      <c r="E18" s="10" t="s">
        <v>65</v>
      </c>
    </row>
    <row r="19" spans="1:5" ht="18" customHeight="1" x14ac:dyDescent="0.35">
      <c r="A19" s="13" t="s">
        <v>144</v>
      </c>
      <c r="B19" s="20" t="s">
        <v>147</v>
      </c>
      <c r="C19" s="9" t="s">
        <v>148</v>
      </c>
      <c r="D19" s="14" t="s">
        <v>136</v>
      </c>
      <c r="E19" s="10" t="s">
        <v>65</v>
      </c>
    </row>
    <row r="20" spans="1:5" ht="18" customHeight="1" x14ac:dyDescent="0.35">
      <c r="A20" s="13" t="s">
        <v>144</v>
      </c>
      <c r="B20" s="20" t="s">
        <v>149</v>
      </c>
      <c r="C20" s="9" t="s">
        <v>150</v>
      </c>
      <c r="D20" s="14" t="s">
        <v>119</v>
      </c>
      <c r="E20" s="10" t="s">
        <v>65</v>
      </c>
    </row>
    <row r="21" spans="1:5" ht="18" customHeight="1" x14ac:dyDescent="0.35">
      <c r="A21" s="13" t="s">
        <v>151</v>
      </c>
      <c r="B21" s="20" t="s">
        <v>152</v>
      </c>
      <c r="C21" s="9" t="s">
        <v>153</v>
      </c>
      <c r="D21" s="14" t="s">
        <v>136</v>
      </c>
      <c r="E21" s="10" t="s">
        <v>65</v>
      </c>
    </row>
    <row r="22" spans="1:5" ht="18" customHeight="1" x14ac:dyDescent="0.35">
      <c r="A22" s="13" t="s">
        <v>154</v>
      </c>
      <c r="B22" s="20" t="s">
        <v>155</v>
      </c>
      <c r="C22" s="9" t="s">
        <v>156</v>
      </c>
      <c r="D22" s="14" t="s">
        <v>119</v>
      </c>
      <c r="E22" s="10" t="s">
        <v>65</v>
      </c>
    </row>
    <row r="24" spans="1:5" ht="15" customHeight="1" x14ac:dyDescent="0.35">
      <c r="A24" s="15" t="s">
        <v>53</v>
      </c>
    </row>
    <row r="25" spans="1:5" ht="12.75" customHeight="1" x14ac:dyDescent="0.35">
      <c r="A25" s="16" t="s">
        <v>54</v>
      </c>
    </row>
    <row r="26" spans="1:5" ht="12.75" customHeight="1" x14ac:dyDescent="0.35">
      <c r="A26" s="17" t="s">
        <v>55</v>
      </c>
    </row>
    <row r="27" spans="1:5" ht="12.75" customHeight="1" x14ac:dyDescent="0.35">
      <c r="A27" s="18" t="s">
        <v>56</v>
      </c>
    </row>
    <row r="28" spans="1:5" ht="12.75" customHeight="1" x14ac:dyDescent="0.35">
      <c r="A28" s="19" t="s">
        <v>57</v>
      </c>
    </row>
  </sheetData>
  <mergeCells count="4">
    <mergeCell ref="A1:E1"/>
    <mergeCell ref="A2:E2"/>
    <mergeCell ref="A4:E4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rightToLeft="1" topLeftCell="A8" zoomScaleNormal="100" workbookViewId="0">
      <selection activeCell="C12" sqref="C12:E23"/>
    </sheetView>
  </sheetViews>
  <sheetFormatPr defaultColWidth="8.6328125" defaultRowHeight="14.5" x14ac:dyDescent="0.35"/>
  <cols>
    <col min="1" max="1" width="30" style="22" customWidth="1"/>
    <col min="2" max="2" width="20" style="22" customWidth="1"/>
    <col min="3" max="4" width="18" style="22" customWidth="1"/>
    <col min="5" max="5" width="14" style="22" customWidth="1"/>
    <col min="6" max="16384" width="8.6328125" style="22"/>
  </cols>
  <sheetData>
    <row r="1" spans="1:5" ht="27.75" customHeight="1" x14ac:dyDescent="0.35">
      <c r="A1" s="21" t="s">
        <v>157</v>
      </c>
      <c r="B1" s="21"/>
      <c r="C1" s="21"/>
      <c r="D1" s="21"/>
      <c r="E1" s="21"/>
    </row>
    <row r="3" spans="1:5" ht="21.75" customHeight="1" x14ac:dyDescent="0.35">
      <c r="A3" s="43" t="s">
        <v>158</v>
      </c>
      <c r="B3" s="43"/>
      <c r="C3" s="43"/>
      <c r="D3" s="43"/>
      <c r="E3" s="43"/>
    </row>
    <row r="4" spans="1:5" ht="18" customHeight="1" x14ac:dyDescent="0.35">
      <c r="A4" s="23" t="s">
        <v>159</v>
      </c>
      <c r="B4" s="26">
        <v>8000</v>
      </c>
    </row>
    <row r="5" spans="1:5" ht="18" customHeight="1" x14ac:dyDescent="0.35">
      <c r="A5" s="23" t="s">
        <v>160</v>
      </c>
      <c r="B5" s="26">
        <v>1000</v>
      </c>
    </row>
    <row r="6" spans="1:5" ht="18" customHeight="1" x14ac:dyDescent="0.35">
      <c r="A6" s="23" t="s">
        <v>161</v>
      </c>
      <c r="B6" s="25">
        <v>12</v>
      </c>
    </row>
    <row r="7" spans="1:5" ht="18" customHeight="1" x14ac:dyDescent="0.35">
      <c r="A7" s="23" t="s">
        <v>162</v>
      </c>
      <c r="B7" s="40">
        <f>MAX(B4-B5,0)</f>
        <v>7000</v>
      </c>
    </row>
    <row r="8" spans="1:5" ht="18" customHeight="1" x14ac:dyDescent="0.35">
      <c r="A8" s="23" t="s">
        <v>163</v>
      </c>
      <c r="B8" s="41">
        <f>IF(B6=0,0,B7/B6)</f>
        <v>583.33333333333337</v>
      </c>
    </row>
    <row r="10" spans="1:5" ht="21.75" customHeight="1" x14ac:dyDescent="0.35">
      <c r="A10" s="43" t="s">
        <v>164</v>
      </c>
      <c r="B10" s="43"/>
      <c r="C10" s="43"/>
      <c r="D10" s="43"/>
      <c r="E10" s="43"/>
    </row>
    <row r="11" spans="1:5" ht="19.5" customHeight="1" x14ac:dyDescent="0.35">
      <c r="A11" s="27" t="s">
        <v>165</v>
      </c>
      <c r="B11" s="27" t="s">
        <v>166</v>
      </c>
      <c r="C11" s="27" t="s">
        <v>167</v>
      </c>
      <c r="D11" s="27" t="s">
        <v>168</v>
      </c>
      <c r="E11" s="27" t="s">
        <v>169</v>
      </c>
    </row>
    <row r="12" spans="1:5" ht="15.75" customHeight="1" x14ac:dyDescent="0.35">
      <c r="A12" s="23" t="s">
        <v>170</v>
      </c>
      <c r="B12" s="26">
        <v>0</v>
      </c>
      <c r="C12" s="40">
        <f>$B$5+B12</f>
        <v>1000</v>
      </c>
      <c r="D12" s="40">
        <f t="shared" ref="D12:D23" si="0">MAX($B$4-C12,0)</f>
        <v>7000</v>
      </c>
      <c r="E12" s="44">
        <f t="shared" ref="E12:E23" si="1">IF($B$4=0,0,MIN(C12/$B$4,1))</f>
        <v>0.125</v>
      </c>
    </row>
    <row r="13" spans="1:5" ht="15.75" customHeight="1" x14ac:dyDescent="0.35">
      <c r="A13" s="28" t="s">
        <v>171</v>
      </c>
      <c r="B13" s="26">
        <v>0</v>
      </c>
      <c r="C13" s="40">
        <f t="shared" ref="C13:C23" si="2">C12+B13</f>
        <v>1000</v>
      </c>
      <c r="D13" s="40">
        <f t="shared" si="0"/>
        <v>7000</v>
      </c>
      <c r="E13" s="44">
        <f t="shared" si="1"/>
        <v>0.125</v>
      </c>
    </row>
    <row r="14" spans="1:5" ht="15.75" customHeight="1" x14ac:dyDescent="0.35">
      <c r="A14" s="23" t="s">
        <v>172</v>
      </c>
      <c r="B14" s="26">
        <v>0</v>
      </c>
      <c r="C14" s="40">
        <f t="shared" si="2"/>
        <v>1000</v>
      </c>
      <c r="D14" s="40">
        <f t="shared" si="0"/>
        <v>7000</v>
      </c>
      <c r="E14" s="44">
        <f t="shared" si="1"/>
        <v>0.125</v>
      </c>
    </row>
    <row r="15" spans="1:5" ht="15.75" customHeight="1" x14ac:dyDescent="0.35">
      <c r="A15" s="28" t="s">
        <v>173</v>
      </c>
      <c r="B15" s="26">
        <v>0</v>
      </c>
      <c r="C15" s="40">
        <f t="shared" si="2"/>
        <v>1000</v>
      </c>
      <c r="D15" s="40">
        <f t="shared" si="0"/>
        <v>7000</v>
      </c>
      <c r="E15" s="44">
        <f t="shared" si="1"/>
        <v>0.125</v>
      </c>
    </row>
    <row r="16" spans="1:5" ht="15.75" customHeight="1" x14ac:dyDescent="0.35">
      <c r="A16" s="23" t="s">
        <v>174</v>
      </c>
      <c r="B16" s="26">
        <v>0</v>
      </c>
      <c r="C16" s="40">
        <f t="shared" si="2"/>
        <v>1000</v>
      </c>
      <c r="D16" s="40">
        <f t="shared" si="0"/>
        <v>7000</v>
      </c>
      <c r="E16" s="44">
        <f t="shared" si="1"/>
        <v>0.125</v>
      </c>
    </row>
    <row r="17" spans="1:5" ht="15.75" customHeight="1" x14ac:dyDescent="0.35">
      <c r="A17" s="28" t="s">
        <v>175</v>
      </c>
      <c r="B17" s="26">
        <v>0</v>
      </c>
      <c r="C17" s="40">
        <f t="shared" si="2"/>
        <v>1000</v>
      </c>
      <c r="D17" s="40">
        <f t="shared" si="0"/>
        <v>7000</v>
      </c>
      <c r="E17" s="44">
        <f t="shared" si="1"/>
        <v>0.125</v>
      </c>
    </row>
    <row r="18" spans="1:5" ht="15.75" customHeight="1" x14ac:dyDescent="0.35">
      <c r="A18" s="23" t="s">
        <v>176</v>
      </c>
      <c r="B18" s="26">
        <v>0</v>
      </c>
      <c r="C18" s="40">
        <f t="shared" si="2"/>
        <v>1000</v>
      </c>
      <c r="D18" s="40">
        <f t="shared" si="0"/>
        <v>7000</v>
      </c>
      <c r="E18" s="44">
        <f t="shared" si="1"/>
        <v>0.125</v>
      </c>
    </row>
    <row r="19" spans="1:5" ht="15.75" customHeight="1" x14ac:dyDescent="0.35">
      <c r="A19" s="28" t="s">
        <v>177</v>
      </c>
      <c r="B19" s="26">
        <v>0</v>
      </c>
      <c r="C19" s="40">
        <f t="shared" si="2"/>
        <v>1000</v>
      </c>
      <c r="D19" s="40">
        <f t="shared" si="0"/>
        <v>7000</v>
      </c>
      <c r="E19" s="44">
        <f t="shared" si="1"/>
        <v>0.125</v>
      </c>
    </row>
    <row r="20" spans="1:5" ht="15.75" customHeight="1" x14ac:dyDescent="0.35">
      <c r="A20" s="23" t="s">
        <v>178</v>
      </c>
      <c r="B20" s="26">
        <v>0</v>
      </c>
      <c r="C20" s="40">
        <f t="shared" si="2"/>
        <v>1000</v>
      </c>
      <c r="D20" s="40">
        <f t="shared" si="0"/>
        <v>7000</v>
      </c>
      <c r="E20" s="44">
        <f t="shared" si="1"/>
        <v>0.125</v>
      </c>
    </row>
    <row r="21" spans="1:5" ht="15.75" customHeight="1" x14ac:dyDescent="0.35">
      <c r="A21" s="28" t="s">
        <v>179</v>
      </c>
      <c r="B21" s="26">
        <v>0</v>
      </c>
      <c r="C21" s="40">
        <f t="shared" si="2"/>
        <v>1000</v>
      </c>
      <c r="D21" s="40">
        <f t="shared" si="0"/>
        <v>7000</v>
      </c>
      <c r="E21" s="44">
        <f t="shared" si="1"/>
        <v>0.125</v>
      </c>
    </row>
    <row r="22" spans="1:5" ht="15.75" customHeight="1" x14ac:dyDescent="0.35">
      <c r="A22" s="23" t="s">
        <v>180</v>
      </c>
      <c r="B22" s="26">
        <v>0</v>
      </c>
      <c r="C22" s="40">
        <f t="shared" si="2"/>
        <v>1000</v>
      </c>
      <c r="D22" s="40">
        <f t="shared" si="0"/>
        <v>7000</v>
      </c>
      <c r="E22" s="44">
        <f t="shared" si="1"/>
        <v>0.125</v>
      </c>
    </row>
    <row r="23" spans="1:5" ht="15.75" customHeight="1" x14ac:dyDescent="0.35">
      <c r="A23" s="28" t="s">
        <v>181</v>
      </c>
      <c r="B23" s="26">
        <v>0</v>
      </c>
      <c r="C23" s="40">
        <f t="shared" si="2"/>
        <v>1000</v>
      </c>
      <c r="D23" s="40">
        <f t="shared" si="0"/>
        <v>7000</v>
      </c>
      <c r="E23" s="44">
        <f t="shared" si="1"/>
        <v>0.125</v>
      </c>
    </row>
    <row r="25" spans="1:5" ht="15" customHeight="1" x14ac:dyDescent="0.35">
      <c r="A25" s="34" t="s">
        <v>53</v>
      </c>
    </row>
    <row r="26" spans="1:5" ht="12.75" customHeight="1" x14ac:dyDescent="0.35">
      <c r="A26" s="35" t="s">
        <v>54</v>
      </c>
    </row>
    <row r="27" spans="1:5" ht="12.75" customHeight="1" x14ac:dyDescent="0.35">
      <c r="A27" s="36" t="s">
        <v>55</v>
      </c>
    </row>
    <row r="28" spans="1:5" ht="12.75" customHeight="1" x14ac:dyDescent="0.35">
      <c r="A28" s="37" t="s">
        <v>56</v>
      </c>
    </row>
    <row r="29" spans="1:5" ht="12.75" customHeight="1" x14ac:dyDescent="0.35">
      <c r="A29" s="38" t="s">
        <v>57</v>
      </c>
    </row>
  </sheetData>
  <sheetProtection algorithmName="SHA-512" hashValue="wdEQlL3RP+fQ+dViG6n3SL78NJ1YeXjndE0EI6xKsYx23j+ELZVuvL3DsKZ5wT4BhtppBndbwE0P+G7/gcc5MA==" saltValue="kG1COB1PTOQNn9yoRJcKFw==" spinCount="100000" sheet="1" objects="1" scenarios="1"/>
  <mergeCells count="3">
    <mergeCell ref="A1:E1"/>
    <mergeCell ref="A3:E3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rightToLeft="1" tabSelected="1" zoomScaleNormal="100" workbookViewId="0">
      <selection activeCell="C11" sqref="C11:F11"/>
    </sheetView>
  </sheetViews>
  <sheetFormatPr defaultColWidth="8.6328125" defaultRowHeight="14.5" x14ac:dyDescent="0.35"/>
  <cols>
    <col min="1" max="1" width="16" style="22" customWidth="1"/>
    <col min="2" max="2" width="12" style="22" customWidth="1"/>
    <col min="3" max="6" width="14" style="22" customWidth="1"/>
    <col min="7" max="7" width="16" style="22" customWidth="1"/>
    <col min="8" max="16384" width="8.6328125" style="22"/>
  </cols>
  <sheetData>
    <row r="1" spans="1:7" ht="27.75" customHeight="1" x14ac:dyDescent="0.35">
      <c r="A1" s="21" t="s">
        <v>182</v>
      </c>
      <c r="B1" s="21"/>
      <c r="C1" s="21"/>
      <c r="D1" s="21"/>
      <c r="E1" s="21"/>
      <c r="F1" s="21"/>
      <c r="G1" s="21"/>
    </row>
    <row r="3" spans="1:7" ht="19.5" customHeight="1" x14ac:dyDescent="0.35">
      <c r="A3" s="27" t="s">
        <v>183</v>
      </c>
      <c r="B3" s="27" t="s">
        <v>184</v>
      </c>
      <c r="C3" s="27" t="s">
        <v>185</v>
      </c>
      <c r="D3" s="27" t="s">
        <v>186</v>
      </c>
      <c r="E3" s="27" t="s">
        <v>187</v>
      </c>
      <c r="F3" s="27" t="s">
        <v>188</v>
      </c>
      <c r="G3" s="27" t="s">
        <v>189</v>
      </c>
    </row>
    <row r="4" spans="1:7" ht="15.75" customHeight="1" x14ac:dyDescent="0.35">
      <c r="A4" s="24" t="s">
        <v>190</v>
      </c>
      <c r="B4" s="24" t="s">
        <v>191</v>
      </c>
      <c r="C4" s="26">
        <v>300</v>
      </c>
      <c r="D4" s="26">
        <v>800</v>
      </c>
      <c r="E4" s="26">
        <v>1150</v>
      </c>
      <c r="F4" s="26">
        <v>600</v>
      </c>
      <c r="G4" s="40">
        <f t="shared" ref="G4:G10" si="0">SUM(C4:F4)</f>
        <v>2850</v>
      </c>
    </row>
    <row r="5" spans="1:7" ht="15.75" customHeight="1" x14ac:dyDescent="0.35">
      <c r="A5" s="24" t="s">
        <v>192</v>
      </c>
      <c r="B5" s="24" t="s">
        <v>191</v>
      </c>
      <c r="C5" s="26">
        <v>300</v>
      </c>
      <c r="D5" s="26">
        <v>800</v>
      </c>
      <c r="E5" s="26">
        <v>1150</v>
      </c>
      <c r="F5" s="26">
        <v>600</v>
      </c>
      <c r="G5" s="40">
        <f t="shared" si="0"/>
        <v>2850</v>
      </c>
    </row>
    <row r="6" spans="1:7" ht="15.75" customHeight="1" x14ac:dyDescent="0.35">
      <c r="A6" s="24" t="s">
        <v>193</v>
      </c>
      <c r="B6" s="24" t="s">
        <v>191</v>
      </c>
      <c r="C6" s="26">
        <v>300</v>
      </c>
      <c r="D6" s="26">
        <v>800</v>
      </c>
      <c r="E6" s="26">
        <v>1150</v>
      </c>
      <c r="F6" s="26">
        <v>600</v>
      </c>
      <c r="G6" s="40">
        <f t="shared" si="0"/>
        <v>2850</v>
      </c>
    </row>
    <row r="7" spans="1:7" ht="15.75" customHeight="1" x14ac:dyDescent="0.35">
      <c r="A7" s="24" t="s">
        <v>194</v>
      </c>
      <c r="B7" s="24" t="s">
        <v>191</v>
      </c>
      <c r="C7" s="26">
        <v>300</v>
      </c>
      <c r="D7" s="26">
        <v>800</v>
      </c>
      <c r="E7" s="26">
        <v>1150</v>
      </c>
      <c r="F7" s="26">
        <v>600</v>
      </c>
      <c r="G7" s="40">
        <f t="shared" si="0"/>
        <v>2850</v>
      </c>
    </row>
    <row r="8" spans="1:7" ht="15.75" customHeight="1" x14ac:dyDescent="0.35">
      <c r="A8" s="24" t="s">
        <v>195</v>
      </c>
      <c r="B8" s="24" t="s">
        <v>196</v>
      </c>
      <c r="C8" s="26">
        <v>0</v>
      </c>
      <c r="D8" s="26">
        <v>400</v>
      </c>
      <c r="E8" s="26">
        <v>575</v>
      </c>
      <c r="F8" s="26">
        <v>300</v>
      </c>
      <c r="G8" s="40">
        <f t="shared" si="0"/>
        <v>1275</v>
      </c>
    </row>
    <row r="9" spans="1:7" ht="15.75" customHeight="1" x14ac:dyDescent="0.35">
      <c r="A9" s="24"/>
      <c r="B9" s="24"/>
      <c r="C9" s="26">
        <v>0</v>
      </c>
      <c r="D9" s="26">
        <v>0</v>
      </c>
      <c r="E9" s="26">
        <v>0</v>
      </c>
      <c r="F9" s="26">
        <v>0</v>
      </c>
      <c r="G9" s="40">
        <f t="shared" si="0"/>
        <v>0</v>
      </c>
    </row>
    <row r="10" spans="1:7" ht="15.75" customHeight="1" x14ac:dyDescent="0.35">
      <c r="A10" s="24"/>
      <c r="B10" s="24"/>
      <c r="C10" s="26">
        <v>0</v>
      </c>
      <c r="D10" s="26">
        <v>0</v>
      </c>
      <c r="E10" s="26">
        <v>0</v>
      </c>
      <c r="F10" s="26">
        <v>0</v>
      </c>
      <c r="G10" s="40">
        <f t="shared" si="0"/>
        <v>0</v>
      </c>
    </row>
    <row r="11" spans="1:7" ht="19.5" customHeight="1" x14ac:dyDescent="0.35">
      <c r="A11" s="31" t="s">
        <v>197</v>
      </c>
      <c r="B11" s="31"/>
      <c r="C11" s="41">
        <f>SUM(C4:C10)</f>
        <v>1200</v>
      </c>
      <c r="D11" s="41">
        <f>SUM(D4:D10)</f>
        <v>3600</v>
      </c>
      <c r="E11" s="41">
        <f>SUM(E4:E10)</f>
        <v>5175</v>
      </c>
      <c r="F11" s="41">
        <f>SUM(F4:F10)</f>
        <v>2700</v>
      </c>
      <c r="G11" s="41">
        <f>SUM(G4:G10)</f>
        <v>12675</v>
      </c>
    </row>
    <row r="13" spans="1:7" ht="15" customHeight="1" x14ac:dyDescent="0.35">
      <c r="A13" s="34" t="s">
        <v>53</v>
      </c>
    </row>
    <row r="14" spans="1:7" ht="12.75" customHeight="1" x14ac:dyDescent="0.35">
      <c r="A14" s="35" t="s">
        <v>54</v>
      </c>
    </row>
    <row r="15" spans="1:7" ht="12.75" customHeight="1" x14ac:dyDescent="0.35">
      <c r="A15" s="36" t="s">
        <v>55</v>
      </c>
    </row>
    <row r="16" spans="1:7" ht="12.75" customHeight="1" x14ac:dyDescent="0.35">
      <c r="A16" s="37" t="s">
        <v>56</v>
      </c>
    </row>
    <row r="17" spans="1:1" ht="12.75" customHeight="1" x14ac:dyDescent="0.35">
      <c r="A17" s="38" t="s">
        <v>57</v>
      </c>
    </row>
  </sheetData>
  <sheetProtection algorithmName="SHA-512" hashValue="nBIQztdVp41Yy2BvrX2jQ/XNDVRVvwqZKLMpP/rcf4vxe+OhcjfDMRdtCyxXb6wi49UOC5DfqsNIIIup047Eew==" saltValue="Y/Lk7jpF1ffK8ZYfObtjHw==" spinCount="100000" sheet="1" objects="1" scenarios="1"/>
  <mergeCells count="2">
    <mergeCell ref="A1:G1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ميزانية الرحلة</vt:lpstr>
      <vt:lpstr>قائمة المستلزمات</vt:lpstr>
      <vt:lpstr>جدول المناسك</vt:lpstr>
      <vt:lpstr>خطة ادخار الرحلة</vt:lpstr>
      <vt:lpstr>رحلة العائلة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1</cp:revision>
  <dcterms:created xsi:type="dcterms:W3CDTF">2026-06-12T07:52:08Z</dcterms:created>
  <dcterms:modified xsi:type="dcterms:W3CDTF">2026-06-13T17:25:20Z</dcterms:modified>
  <dc:language>en-US</dc:language>
</cp:coreProperties>
</file>