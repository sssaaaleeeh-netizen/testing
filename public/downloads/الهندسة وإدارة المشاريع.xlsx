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مجلد جديد\"/>
    </mc:Choice>
  </mc:AlternateContent>
  <xr:revisionPtr revIDLastSave="0" documentId="13_ncr:1_{CEEE7368-D4BD-4BBA-96B5-9786F3DC9F37}" xr6:coauthVersionLast="47" xr6:coauthVersionMax="47" xr10:uidLastSave="{00000000-0000-0000-0000-000000000000}"/>
  <bookViews>
    <workbookView xWindow="-110" yWindow="-110" windowWidth="19420" windowHeight="10300" tabRatio="500" firstSheet="4" activeTab="6" xr2:uid="{00000000-000D-0000-FFFF-FFFF00000000}"/>
  </bookViews>
  <sheets>
    <sheet name="الغلاف" sheetId="1" r:id="rId1"/>
    <sheet name="جدول الكميات BOQ" sheetId="2" r:id="rId2"/>
    <sheet name="مخطط جانت" sheetId="3" r:id="rId3"/>
    <sheet name="قائمة فحص الجودة" sheetId="4" r:id="rId4"/>
    <sheet name="ضبط تكاليف المشروع" sheetId="5" r:id="rId5"/>
    <sheet name="سجل المخاطر" sheetId="6" r:id="rId6"/>
    <sheet name="تقرير التقدم الشهري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6" l="1"/>
  <c r="F11" i="6"/>
  <c r="F10" i="6"/>
  <c r="F9" i="6"/>
  <c r="F8" i="6"/>
  <c r="F7" i="6"/>
  <c r="F6" i="6"/>
  <c r="F5" i="6"/>
  <c r="F4" i="6"/>
  <c r="F3" i="6"/>
  <c r="B16" i="5"/>
  <c r="B15" i="5"/>
  <c r="F12" i="5"/>
  <c r="B17" i="5" s="1"/>
  <c r="C12" i="5"/>
  <c r="B12" i="5"/>
  <c r="E12" i="5" s="1"/>
  <c r="G11" i="5"/>
  <c r="E11" i="5"/>
  <c r="H11" i="5" s="1"/>
  <c r="D11" i="5"/>
  <c r="H10" i="5"/>
  <c r="G10" i="5"/>
  <c r="E10" i="5"/>
  <c r="D10" i="5"/>
  <c r="G9" i="5"/>
  <c r="E9" i="5"/>
  <c r="H9" i="5" s="1"/>
  <c r="D9" i="5"/>
  <c r="H8" i="5"/>
  <c r="G8" i="5"/>
  <c r="E8" i="5"/>
  <c r="D8" i="5"/>
  <c r="G7" i="5"/>
  <c r="E7" i="5"/>
  <c r="H7" i="5" s="1"/>
  <c r="D7" i="5"/>
  <c r="H6" i="5"/>
  <c r="G6" i="5"/>
  <c r="E6" i="5"/>
  <c r="D6" i="5"/>
  <c r="G5" i="5"/>
  <c r="E5" i="5"/>
  <c r="H5" i="5" s="1"/>
  <c r="D5" i="5"/>
  <c r="H4" i="5"/>
  <c r="G4" i="5"/>
  <c r="G12" i="5" s="1"/>
  <c r="E4" i="5"/>
  <c r="D4" i="5"/>
  <c r="G3" i="5"/>
  <c r="E3" i="5"/>
  <c r="H3" i="5" s="1"/>
  <c r="D3" i="5"/>
  <c r="D12" i="5" s="1"/>
  <c r="B37" i="4"/>
  <c r="B36" i="4"/>
  <c r="B35" i="4"/>
  <c r="B34" i="4"/>
  <c r="F37" i="2"/>
  <c r="F36" i="2"/>
  <c r="F33" i="2"/>
  <c r="F34" i="2" s="1"/>
  <c r="F32" i="2"/>
  <c r="F31" i="2"/>
  <c r="F30" i="2"/>
  <c r="F27" i="2"/>
  <c r="F26" i="2"/>
  <c r="F25" i="2"/>
  <c r="F28" i="2" s="1"/>
  <c r="F24" i="2"/>
  <c r="F21" i="2"/>
  <c r="F20" i="2"/>
  <c r="F19" i="2"/>
  <c r="F22" i="2" s="1"/>
  <c r="F16" i="2"/>
  <c r="F15" i="2"/>
  <c r="F17" i="2" s="1"/>
  <c r="F14" i="2"/>
  <c r="F13" i="2"/>
  <c r="F10" i="2"/>
  <c r="F9" i="2"/>
  <c r="F8" i="2"/>
  <c r="F11" i="2" s="1"/>
  <c r="F38" i="2" l="1"/>
  <c r="F39" i="2" s="1"/>
  <c r="F40" i="2" l="1"/>
  <c r="F41" i="2" s="1"/>
</calcChain>
</file>

<file path=xl/sharedStrings.xml><?xml version="1.0" encoding="utf-8"?>
<sst xmlns="http://schemas.openxmlformats.org/spreadsheetml/2006/main" count="398" uniqueCount="280">
  <si>
    <t>حزمة قوالب الهندسة وإدارة المشاريع</t>
  </si>
  <si>
    <t>أدوات احترافية للمهندسين ومديري المشاريع في السوق السعودي</t>
  </si>
  <si>
    <t>🏗️ جدول الكميات BOQ</t>
  </si>
  <si>
    <t>📅 مخطط جانت</t>
  </si>
  <si>
    <t>✅ قوائم الفحص</t>
  </si>
  <si>
    <t>تسعير دقيق للمشاريع</t>
  </si>
  <si>
    <t>جدولة زمنية احترافية</t>
  </si>
  <si>
    <t>ضبط جودة المشاريع</t>
  </si>
  <si>
    <t>📊 تقرير التقدم</t>
  </si>
  <si>
    <t>⚠️ إدارة المخاطر</t>
  </si>
  <si>
    <t>💰 تكاليف المشروع</t>
  </si>
  <si>
    <t>متابعة دورية منظمة</t>
  </si>
  <si>
    <t>تحديد وتحليل المخاطر</t>
  </si>
  <si>
    <t>ضبط الميزانية والتغييرات</t>
  </si>
  <si>
    <t>جدول الكميات والأسعار (Bill of Quantities)</t>
  </si>
  <si>
    <t>اسم المشروع</t>
  </si>
  <si>
    <t>رقم العقد</t>
  </si>
  <si>
    <t>صاحب العمل</t>
  </si>
  <si>
    <t>تاريخ البدء</t>
  </si>
  <si>
    <t>المقاول</t>
  </si>
  <si>
    <t>تاريخ الانتهاء</t>
  </si>
  <si>
    <t>#</t>
  </si>
  <si>
    <t>وصف البند</t>
  </si>
  <si>
    <t>الوحدة</t>
  </si>
  <si>
    <t>الكمية</t>
  </si>
  <si>
    <t>سعر الوحدة (ريال)</t>
  </si>
  <si>
    <t>الإجمالي (ريال)</t>
  </si>
  <si>
    <t>ملاحظات / المواصفة</t>
  </si>
  <si>
    <t>تاريخ التحديث</t>
  </si>
  <si>
    <t>الحالة</t>
  </si>
  <si>
    <t>رقم البند</t>
  </si>
  <si>
    <t>أعمال الهدم والتجهيز</t>
  </si>
  <si>
    <t>هدم وإزالة</t>
  </si>
  <si>
    <t>م²</t>
  </si>
  <si>
    <t>منتظر</t>
  </si>
  <si>
    <t>1</t>
  </si>
  <si>
    <t>حفر وتسوية</t>
  </si>
  <si>
    <t>م³</t>
  </si>
  <si>
    <t>2</t>
  </si>
  <si>
    <t>ردم وضغط</t>
  </si>
  <si>
    <t>3</t>
  </si>
  <si>
    <t>مجموع أعمال الهدم والتجهيز</t>
  </si>
  <si>
    <t>أعمال الخرسانة</t>
  </si>
  <si>
    <t>خرسانة أساسات</t>
  </si>
  <si>
    <t>4</t>
  </si>
  <si>
    <t>خرسانة أعمدة</t>
  </si>
  <si>
    <t>5</t>
  </si>
  <si>
    <t>خرسانة أسقف</t>
  </si>
  <si>
    <t>6</t>
  </si>
  <si>
    <t>أعمال حديد التسليح</t>
  </si>
  <si>
    <t>طن</t>
  </si>
  <si>
    <t>7</t>
  </si>
  <si>
    <t>مجموع أعمال الخرسانة</t>
  </si>
  <si>
    <t>أعمال البناء</t>
  </si>
  <si>
    <t>بناء طابوق خارجي</t>
  </si>
  <si>
    <t>8</t>
  </si>
  <si>
    <t>بناء طابوق داخلي</t>
  </si>
  <si>
    <t>9</t>
  </si>
  <si>
    <t>لياسة ومعالجة</t>
  </si>
  <si>
    <t>10</t>
  </si>
  <si>
    <t>مجموع أعمال البناء</t>
  </si>
  <si>
    <t>أعمال التشطيب</t>
  </si>
  <si>
    <t>بلاط وسيراميك</t>
  </si>
  <si>
    <t>11</t>
  </si>
  <si>
    <t>دهانات داخلية</t>
  </si>
  <si>
    <t>12</t>
  </si>
  <si>
    <t>دهانات خارجية</t>
  </si>
  <si>
    <t>13</t>
  </si>
  <si>
    <t>أعمال الجبس</t>
  </si>
  <si>
    <t>14</t>
  </si>
  <si>
    <t>مجموع أعمال التشطيب</t>
  </si>
  <si>
    <t>أعمال الكهرباء والميكانيكا</t>
  </si>
  <si>
    <t>تمديدات كهربائية</t>
  </si>
  <si>
    <t>نقطة</t>
  </si>
  <si>
    <t>15</t>
  </si>
  <si>
    <t>لوحات كهربائية</t>
  </si>
  <si>
    <t>قطعة</t>
  </si>
  <si>
    <t>16</t>
  </si>
  <si>
    <t>تمديدات صحية</t>
  </si>
  <si>
    <t>17</t>
  </si>
  <si>
    <t>تكييف وتهوية</t>
  </si>
  <si>
    <t>وحدة</t>
  </si>
  <si>
    <t>18</t>
  </si>
  <si>
    <t>مجموع أعمال الكهرباء والميكانيكا</t>
  </si>
  <si>
    <t>أعمال الخارج واللاندسكيب</t>
  </si>
  <si>
    <t>رصف خارجي</t>
  </si>
  <si>
    <t>19</t>
  </si>
  <si>
    <t>سور وبوابات</t>
  </si>
  <si>
    <t>م.ط</t>
  </si>
  <si>
    <t>20</t>
  </si>
  <si>
    <t>مجموع أعمال الخارج واللاندسكيب</t>
  </si>
  <si>
    <t>إجمالي أعمال المقاولة</t>
  </si>
  <si>
    <t>الأعمال الاحتياطية والطوارئ (10%)</t>
  </si>
  <si>
    <t>⭐ الإجمالي الكلي للمشروع (ريال)</t>
  </si>
  <si>
    <t>🔑 دليل الألوان:</t>
  </si>
  <si>
    <t xml:space="preserve">  خلايا الإدخال – أدخل بياناتك</t>
  </si>
  <si>
    <t xml:space="preserve">  خلايا محسوبة – لا تعدّل</t>
  </si>
  <si>
    <t xml:space="preserve">  نتائج رئيسية</t>
  </si>
  <si>
    <t xml:space="preserve">  تحذير / قيمة سلبية</t>
  </si>
  <si>
    <t>مخطط جانت – الجدول الزمني للمشروع</t>
  </si>
  <si>
    <t>المهمة</t>
  </si>
  <si>
    <t>المسؤول</t>
  </si>
  <si>
    <t>البداية</t>
  </si>
  <si>
    <t>النهاية</t>
  </si>
  <si>
    <t>الأسبوع
%</t>
  </si>
  <si>
    <t>أ1</t>
  </si>
  <si>
    <t>أ2</t>
  </si>
  <si>
    <t>أ3</t>
  </si>
  <si>
    <t>أ4</t>
  </si>
  <si>
    <t>أ5</t>
  </si>
  <si>
    <t>أ6</t>
  </si>
  <si>
    <t>أ7</t>
  </si>
  <si>
    <t>أ8</t>
  </si>
  <si>
    <t>أ9</t>
  </si>
  <si>
    <t>أ10</t>
  </si>
  <si>
    <t>أ11</t>
  </si>
  <si>
    <t>أ12</t>
  </si>
  <si>
    <t>أ13</t>
  </si>
  <si>
    <t>أ14</t>
  </si>
  <si>
    <t>أ15</t>
  </si>
  <si>
    <t>أ16</t>
  </si>
  <si>
    <t>دراسة التصميم والمخططات</t>
  </si>
  <si>
    <t>المهندس المعماري</t>
  </si>
  <si>
    <t>أسبوع 1</t>
  </si>
  <si>
    <t>أسبوع 2</t>
  </si>
  <si>
    <t>■</t>
  </si>
  <si>
    <t>استخراج التراخيص</t>
  </si>
  <si>
    <t>المكتب القانوني</t>
  </si>
  <si>
    <t>أسبوع 3</t>
  </si>
  <si>
    <t>أعمال الهدم والحفر</t>
  </si>
  <si>
    <t>مقاول أعمال التربة</t>
  </si>
  <si>
    <t>أسبوع 5</t>
  </si>
  <si>
    <t>أعمال الخرسانة والأساسات</t>
  </si>
  <si>
    <t>مقاول الخرسانة</t>
  </si>
  <si>
    <t>أسبوع 9</t>
  </si>
  <si>
    <t>أعمال البناء والمبنى</t>
  </si>
  <si>
    <t>المقاول العام</t>
  </si>
  <si>
    <t>أسبوع 13</t>
  </si>
  <si>
    <t>أعمال الكهرباء والصحي</t>
  </si>
  <si>
    <t>المقاول المتخصص</t>
  </si>
  <si>
    <t>أسبوع 11</t>
  </si>
  <si>
    <t>أسبوع 14</t>
  </si>
  <si>
    <t>مقاول التشطيبات</t>
  </si>
  <si>
    <t>أسبوع 16</t>
  </si>
  <si>
    <t>الفحص والاستلام</t>
  </si>
  <si>
    <t>فريق الإشراف</t>
  </si>
  <si>
    <t>قائمة فحص ومتابعة جودة البناء</t>
  </si>
  <si>
    <t>تاريخ الفحص</t>
  </si>
  <si>
    <t>المرحلة</t>
  </si>
  <si>
    <t>المشرف</t>
  </si>
  <si>
    <t>بند الفحص</t>
  </si>
  <si>
    <t>المعيار</t>
  </si>
  <si>
    <t>النتيجة</t>
  </si>
  <si>
    <t>المخالفة</t>
  </si>
  <si>
    <t>الإجراء التصحيحي</t>
  </si>
  <si>
    <t>فحوصات الخرسانة</t>
  </si>
  <si>
    <t>تحقق من نسب الخلط</t>
  </si>
  <si>
    <t>وفق المواصفات القياسية السعودية</t>
  </si>
  <si>
    <t>✅ مطابق</t>
  </si>
  <si>
    <t>اختبار الهبوط (Slump Test)</t>
  </si>
  <si>
    <t>80-120 مم</t>
  </si>
  <si>
    <t>مقاومة الضغط 28 يوم</t>
  </si>
  <si>
    <t>≥ 25 N/mm²</t>
  </si>
  <si>
    <t>التسليح والتغطية</t>
  </si>
  <si>
    <t>وفق المخططات الإنشائية</t>
  </si>
  <si>
    <t>معالجة الخرسانة</t>
  </si>
  <si>
    <t>7 أيام كحد أدنى</t>
  </si>
  <si>
    <t>فحوصات المباني</t>
  </si>
  <si>
    <t>تسوية وخط البناء</t>
  </si>
  <si>
    <t>0 انحراف</t>
  </si>
  <si>
    <t>سماكة الطابوق والمونة</t>
  </si>
  <si>
    <t>وفق المواصفات</t>
  </si>
  <si>
    <t>فتحات النوافذ والأبواب</t>
  </si>
  <si>
    <t>وفق المخططات المعمارية</t>
  </si>
  <si>
    <t>فحوصات العزل</t>
  </si>
  <si>
    <t>عزل رطوبة الأساسات</t>
  </si>
  <si>
    <t>شهادة ضمان المورد</t>
  </si>
  <si>
    <t>عزل الأسطح</t>
  </si>
  <si>
    <t>شهادة ضمان 10 سنوات</t>
  </si>
  <si>
    <t>عزل صوتي وحراري</t>
  </si>
  <si>
    <t>وفق كود البناء السعودي</t>
  </si>
  <si>
    <t>فحوصات التشطيبات</t>
  </si>
  <si>
    <t>استواء الجدران والأرضيات</t>
  </si>
  <si>
    <t>شريط ميزان ≤ 3مم/2م</t>
  </si>
  <si>
    <t>تمدد البلاط والفواصل</t>
  </si>
  <si>
    <t>وفق المواصفة</t>
  </si>
  <si>
    <t>جودة الدهانات</t>
  </si>
  <si>
    <t>عدد الطبقات وفق المواصفة</t>
  </si>
  <si>
    <t>فحوصات السلامة</t>
  </si>
  <si>
    <t>تحديد مناطق الخطر</t>
  </si>
  <si>
    <t>لافتات واضحة</t>
  </si>
  <si>
    <t>معدات الحماية الشخصية</t>
  </si>
  <si>
    <t>إلزامية لجميع العمال</t>
  </si>
  <si>
    <t>سلامة الأسقف المؤقتة</t>
  </si>
  <si>
    <t>فحص يومي</t>
  </si>
  <si>
    <t>ملخص نتائج الفحص</t>
  </si>
  <si>
    <t>إجمالي البنود المفحوصة</t>
  </si>
  <si>
    <t>البنود المطابقة</t>
  </si>
  <si>
    <t>البنود غير المطابقة</t>
  </si>
  <si>
    <t>نسبة المطابقة الإجمالية %</t>
  </si>
  <si>
    <t>نموذج ضبط ومتابعة تكاليف المشروع</t>
  </si>
  <si>
    <t>البند</t>
  </si>
  <si>
    <t>الميزانية المعتمدة (ريال)</t>
  </si>
  <si>
    <t>التكلفة الفعلية (ريال)</t>
  </si>
  <si>
    <t>الانحراف (ريال)</t>
  </si>
  <si>
    <t>الانحراف %</t>
  </si>
  <si>
    <t>أوامر التغيير (ريال)</t>
  </si>
  <si>
    <t>التكلفة المتوقعة للإتمام</t>
  </si>
  <si>
    <t>التشطيبات الداخلية</t>
  </si>
  <si>
    <t>الكهرباء والصحي</t>
  </si>
  <si>
    <t>التكييف</t>
  </si>
  <si>
    <t>اللاندسكيب والخارج</t>
  </si>
  <si>
    <t>الإشراف والاستشارات</t>
  </si>
  <si>
    <t>الطوارئ والاحتياطي</t>
  </si>
  <si>
    <t>الإجمالي</t>
  </si>
  <si>
    <t>مؤشرات الأداء الإنشائي</t>
  </si>
  <si>
    <t>مؤشر أداء التكلفة (CPI)</t>
  </si>
  <si>
    <t>المعيار: &gt; 1.0 = ضمن الميزانية</t>
  </si>
  <si>
    <t>إجمالي الانحراف عن الميزانية %</t>
  </si>
  <si>
    <t>المعيار: 0.0% مثالي</t>
  </si>
  <si>
    <t>قيمة أوامر التغيير الإجمالية</t>
  </si>
  <si>
    <t>المعيار: يجب مراقبتها</t>
  </si>
  <si>
    <t>سجل تحديد وإدارة مخاطر المشروع</t>
  </si>
  <si>
    <t>وصف الخطر</t>
  </si>
  <si>
    <t>الفئة</t>
  </si>
  <si>
    <t>الاحتمالية (1-5)</t>
  </si>
  <si>
    <t>الأثر (1-5)</t>
  </si>
  <si>
    <t>درجة الخطورة</t>
  </si>
  <si>
    <t>خطة التعامل</t>
  </si>
  <si>
    <t>تأخر استلام المواد</t>
  </si>
  <si>
    <t>تشغيلي</t>
  </si>
  <si>
    <t>إيجاد موردين بديلين</t>
  </si>
  <si>
    <t>المدير</t>
  </si>
  <si>
    <t>تجاوز الميزانية</t>
  </si>
  <si>
    <t>مالي</t>
  </si>
  <si>
    <t>احتياطي 10% + مراقبة شهرية</t>
  </si>
  <si>
    <t>تأخر التراخيص الحكومية</t>
  </si>
  <si>
    <t>تنظيمي</t>
  </si>
  <si>
    <t>تقديم مبكر + متابعة دورية</t>
  </si>
  <si>
    <t>سوء الأحوال الجوية</t>
  </si>
  <si>
    <t>بيئي</t>
  </si>
  <si>
    <t>تعديل الجدول الزمني</t>
  </si>
  <si>
    <t>نقص العمالة المتخصصة</t>
  </si>
  <si>
    <t>موارد بشرية</t>
  </si>
  <si>
    <t>عقود مع شركات متخصصة</t>
  </si>
  <si>
    <t>أخطاء في التصميم</t>
  </si>
  <si>
    <t>تقني</t>
  </si>
  <si>
    <t>مراجعة هندسية متعددة</t>
  </si>
  <si>
    <t>حوادث السلامة</t>
  </si>
  <si>
    <t>سلامة</t>
  </si>
  <si>
    <t>برنامج سلامة شامل</t>
  </si>
  <si>
    <t>تغيرات نطاق العمل</t>
  </si>
  <si>
    <t>إدارة</t>
  </si>
  <si>
    <t>إجراء تحكم صارم بالتغييرات</t>
  </si>
  <si>
    <t>مشاكل التربة غير المتوقعة</t>
  </si>
  <si>
    <t>جيوتقني</t>
  </si>
  <si>
    <t>فحص تربة مفصل مسبقاً</t>
  </si>
  <si>
    <t>ارتفاع أسعار المواد</t>
  </si>
  <si>
    <t>اقتصادي</t>
  </si>
  <si>
    <t>عقود بأسعار ثابتة</t>
  </si>
  <si>
    <t>مقياس الخطورة: 1-4 = منخفض (أخضر) | 5-10 = متوسط | 12-25 = عالٍ (أحمر)</t>
  </si>
  <si>
    <t>تقرير التقدم الشهري للمشروع</t>
  </si>
  <si>
    <t>الشهر / الفترة</t>
  </si>
  <si>
    <t>اسم المُعِدّ</t>
  </si>
  <si>
    <t>تاريخ التقرير</t>
  </si>
  <si>
    <t>نسبة الإنجاز الإجمالية %</t>
  </si>
  <si>
    <t>1. ملخص التقدم الشهري</t>
  </si>
  <si>
    <t>وصف الأعمال المنجزة خلال الشهر الحالي...</t>
  </si>
  <si>
    <t>2. الأنشطة المخططة والفعلية</t>
  </si>
  <si>
    <t>مقارنة بين المخطط والمنجز فعلياً...</t>
  </si>
  <si>
    <t>3. المشكلات والعقبات</t>
  </si>
  <si>
    <t>التحديات التي واجهت المشروع هذا الشهر...</t>
  </si>
  <si>
    <t>4. خطة الشهر القادم</t>
  </si>
  <si>
    <t>الأنشطة المخطط تنفيذها الشهر القادم...</t>
  </si>
  <si>
    <t>5. الوضع المالي</t>
  </si>
  <si>
    <t>ملخص الإنفاق الفعلي مقارنة بالميزانية...</t>
  </si>
  <si>
    <t>6. قرارات مطلوبة</t>
  </si>
  <si>
    <t>القرارات المطلوبة من الإدارة العليا...</t>
  </si>
  <si>
    <t>7. صور ووثائق مرفقة</t>
  </si>
  <si>
    <t>قائمة المرفقات والوثائق الداعمة...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</si>
</sst>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0000FF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1"/>
      <color rgb="FFFFFFFF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b/>
      <sz val="8"/>
      <color rgb="FFFFFFFF"/>
      <name val="Arial"/>
      <charset val="1"/>
    </font>
    <font>
      <sz val="8"/>
      <color rgb="FFFFFFFF"/>
      <name val="Arial"/>
      <charset val="1"/>
    </font>
    <font>
      <sz val="9"/>
      <name val="Arial"/>
      <charset val="1"/>
    </font>
    <font>
      <b/>
      <sz val="10"/>
      <color rgb="FFC9A84C"/>
      <name val="Arial"/>
      <charset val="1"/>
    </font>
    <font>
      <b/>
      <sz val="10"/>
      <color rgb="FF7B0000"/>
      <name val="Arial"/>
      <charset val="1"/>
    </font>
    <font>
      <b/>
      <sz val="14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  <fill>
      <patternFill patternType="solid">
        <fgColor rgb="FFBDD7EE"/>
        <bgColor rgb="FF99CCFF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3" borderId="0" xfId="0" applyFill="1"/>
    <xf numFmtId="0" fontId="6" fillId="5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49" fontId="7" fillId="5" borderId="2" xfId="0" applyNumberFormat="1" applyFont="1" applyFill="1" applyBorder="1" applyAlignment="1">
      <alignment horizontal="right" vertical="center"/>
    </xf>
    <xf numFmtId="0" fontId="12" fillId="0" borderId="0" xfId="0" applyFont="1"/>
    <xf numFmtId="0" fontId="13" fillId="5" borderId="2" xfId="0" applyFont="1" applyFill="1" applyBorder="1"/>
    <xf numFmtId="0" fontId="14" fillId="7" borderId="2" xfId="0" applyFont="1" applyFill="1" applyBorder="1"/>
    <xf numFmtId="0" fontId="15" fillId="8" borderId="2" xfId="0" applyFont="1" applyFill="1" applyBorder="1"/>
    <xf numFmtId="0" fontId="16" fillId="9" borderId="2" xfId="0" applyFont="1" applyFill="1" applyBorder="1"/>
    <xf numFmtId="0" fontId="17" fillId="2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9" fontId="7" fillId="5" borderId="2" xfId="0" applyNumberFormat="1" applyFont="1" applyFill="1" applyBorder="1" applyAlignment="1">
      <alignment horizontal="right" vertical="center"/>
    </xf>
    <xf numFmtId="0" fontId="18" fillId="4" borderId="2" xfId="0" applyFont="1" applyFill="1" applyBorder="1" applyAlignment="1">
      <alignment horizontal="center" vertical="center" wrapText="1"/>
    </xf>
    <xf numFmtId="0" fontId="0" fillId="6" borderId="2" xfId="0" applyFill="1" applyBorder="1"/>
    <xf numFmtId="0" fontId="9" fillId="7" borderId="2" xfId="0" applyFont="1" applyFill="1" applyBorder="1" applyAlignment="1">
      <alignment horizontal="left" vertical="center" wrapText="1"/>
    </xf>
    <xf numFmtId="1" fontId="9" fillId="7" borderId="2" xfId="0" applyNumberFormat="1" applyFont="1" applyFill="1" applyBorder="1" applyAlignment="1">
      <alignment horizontal="right" vertical="center"/>
    </xf>
    <xf numFmtId="164" fontId="9" fillId="7" borderId="2" xfId="0" applyNumberFormat="1" applyFont="1" applyFill="1" applyBorder="1" applyAlignment="1">
      <alignment horizontal="right" vertical="center"/>
    </xf>
    <xf numFmtId="3" fontId="7" fillId="5" borderId="2" xfId="0" applyNumberFormat="1" applyFont="1" applyFill="1" applyBorder="1" applyAlignment="1">
      <alignment horizontal="right" vertical="center"/>
    </xf>
    <xf numFmtId="3" fontId="9" fillId="7" borderId="2" xfId="0" applyNumberFormat="1" applyFont="1" applyFill="1" applyBorder="1" applyAlignment="1">
      <alignment horizontal="right" vertical="center"/>
    </xf>
    <xf numFmtId="0" fontId="19" fillId="6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left" vertical="center" wrapText="1"/>
    </xf>
    <xf numFmtId="1" fontId="7" fillId="5" borderId="2" xfId="0" applyNumberFormat="1" applyFont="1" applyFill="1" applyBorder="1" applyAlignment="1">
      <alignment horizontal="right" vertical="center"/>
    </xf>
    <xf numFmtId="0" fontId="0" fillId="0" borderId="0" xfId="0" applyProtection="1">
      <protection locked="0"/>
    </xf>
    <xf numFmtId="0" fontId="6" fillId="5" borderId="2" xfId="0" applyFont="1" applyFill="1" applyBorder="1" applyAlignment="1" applyProtection="1">
      <alignment horizontal="left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4" fillId="5" borderId="2" xfId="0" applyFont="1" applyFill="1" applyBorder="1" applyAlignment="1" applyProtection="1">
      <alignment horizontal="center" vertical="center" wrapText="1"/>
      <protection locked="0"/>
    </xf>
    <xf numFmtId="0" fontId="9" fillId="6" borderId="2" xfId="0" applyFont="1" applyFill="1" applyBorder="1" applyAlignment="1" applyProtection="1">
      <alignment horizontal="left" vertical="center" wrapText="1"/>
      <protection locked="0"/>
    </xf>
    <xf numFmtId="49" fontId="7" fillId="5" borderId="2" xfId="0" applyNumberFormat="1" applyFont="1" applyFill="1" applyBorder="1" applyAlignment="1" applyProtection="1">
      <alignment horizontal="right" vertical="center"/>
      <protection locked="0"/>
    </xf>
    <xf numFmtId="4" fontId="7" fillId="5" borderId="2" xfId="0" applyNumberFormat="1" applyFont="1" applyFill="1" applyBorder="1" applyAlignment="1" applyProtection="1">
      <alignment horizontal="right" vertical="center"/>
      <protection locked="0"/>
    </xf>
    <xf numFmtId="0" fontId="12" fillId="0" borderId="0" xfId="0" applyFont="1" applyProtection="1">
      <protection locked="0"/>
    </xf>
    <xf numFmtId="0" fontId="13" fillId="5" borderId="2" xfId="0" applyFont="1" applyFill="1" applyBorder="1" applyProtection="1">
      <protection locked="0"/>
    </xf>
    <xf numFmtId="0" fontId="14" fillId="7" borderId="2" xfId="0" applyFont="1" applyFill="1" applyBorder="1" applyProtection="1">
      <protection locked="0"/>
    </xf>
    <xf numFmtId="0" fontId="15" fillId="8" borderId="2" xfId="0" applyFont="1" applyFill="1" applyBorder="1" applyProtection="1">
      <protection locked="0"/>
    </xf>
    <xf numFmtId="0" fontId="16" fillId="9" borderId="2" xfId="0" applyFont="1" applyFill="1" applyBorder="1" applyProtection="1">
      <protection locked="0"/>
    </xf>
    <xf numFmtId="4" fontId="9" fillId="7" borderId="2" xfId="0" applyNumberFormat="1" applyFont="1" applyFill="1" applyBorder="1" applyAlignment="1" applyProtection="1">
      <alignment horizontal="right" vertical="center"/>
      <protection locked="0" hidden="1"/>
    </xf>
    <xf numFmtId="4" fontId="10" fillId="8" borderId="3" xfId="0" applyNumberFormat="1" applyFont="1" applyFill="1" applyBorder="1" applyAlignment="1" applyProtection="1">
      <alignment horizontal="right" vertical="center"/>
      <protection locked="0" hidden="1"/>
    </xf>
    <xf numFmtId="1" fontId="9" fillId="7" borderId="2" xfId="0" applyNumberFormat="1" applyFont="1" applyFill="1" applyBorder="1" applyAlignment="1" applyProtection="1">
      <alignment horizontal="right" vertical="center"/>
      <protection hidden="1"/>
    </xf>
    <xf numFmtId="164" fontId="9" fillId="7" borderId="2" xfId="0" applyNumberFormat="1" applyFont="1" applyFill="1" applyBorder="1" applyAlignment="1" applyProtection="1">
      <alignment horizontal="right" vertical="center"/>
      <protection hidden="1"/>
    </xf>
    <xf numFmtId="164" fontId="9" fillId="7" borderId="2" xfId="0" applyNumberFormat="1" applyFont="1" applyFill="1" applyBorder="1" applyAlignment="1" applyProtection="1">
      <alignment horizontal="right" vertical="center"/>
      <protection locked="0" hidden="1"/>
    </xf>
    <xf numFmtId="1" fontId="20" fillId="6" borderId="3" xfId="0" applyNumberFormat="1" applyFont="1" applyFill="1" applyBorder="1" applyAlignment="1" applyProtection="1">
      <alignment horizontal="center" vertical="center" wrapText="1"/>
      <protection locked="0" hidden="1"/>
    </xf>
    <xf numFmtId="1" fontId="21" fillId="9" borderId="3" xfId="0" applyNumberFormat="1" applyFont="1" applyFill="1" applyBorder="1" applyAlignment="1" applyProtection="1">
      <alignment horizontal="center" vertical="center" wrapText="1"/>
      <protection locked="0" hidden="1"/>
    </xf>
    <xf numFmtId="1" fontId="10" fillId="8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9" fillId="6" borderId="2" xfId="0" applyFont="1" applyFill="1" applyBorder="1" applyAlignment="1" applyProtection="1">
      <alignment horizontal="left" vertical="center" wrapText="1"/>
      <protection locked="0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0" fontId="8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7" fillId="5" borderId="1" xfId="0" applyNumberFormat="1" applyFont="1" applyFill="1" applyBorder="1" applyAlignment="1" applyProtection="1">
      <alignment horizontal="right" vertical="center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 applyProtection="1">
      <alignment horizontal="center" vertical="center" wrapText="1"/>
      <protection locked="0" hidden="1"/>
    </xf>
    <xf numFmtId="0" fontId="7" fillId="6" borderId="4" xfId="0" applyFont="1" applyFill="1" applyBorder="1" applyAlignment="1">
      <alignment horizontal="left" vertical="center" wrapText="1"/>
    </xf>
    <xf numFmtId="49" fontId="7" fillId="5" borderId="1" xfId="0" applyNumberFormat="1" applyFont="1" applyFill="1" applyBorder="1" applyAlignment="1">
      <alignment horizontal="right" vertical="center"/>
    </xf>
    <xf numFmtId="0" fontId="22" fillId="2" borderId="1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zoomScaleNormal="100" workbookViewId="0">
      <selection sqref="A1:J4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16.5" customHeight="1" x14ac:dyDescent="0.35">
      <c r="A2" s="55"/>
      <c r="B2" s="55"/>
      <c r="C2" s="55"/>
      <c r="D2" s="55"/>
      <c r="E2" s="55"/>
      <c r="F2" s="55"/>
      <c r="G2" s="55"/>
      <c r="H2" s="55"/>
      <c r="I2" s="55"/>
      <c r="J2" s="55"/>
    </row>
    <row r="3" spans="1:10" ht="16.5" customHeight="1" x14ac:dyDescent="0.35">
      <c r="A3" s="55"/>
      <c r="B3" s="55"/>
      <c r="C3" s="55"/>
      <c r="D3" s="55"/>
      <c r="E3" s="55"/>
      <c r="F3" s="55"/>
      <c r="G3" s="55"/>
      <c r="H3" s="55"/>
      <c r="I3" s="55"/>
      <c r="J3" s="55"/>
    </row>
    <row r="4" spans="1:10" ht="16.5" customHeight="1" x14ac:dyDescent="0.35">
      <c r="A4" s="55"/>
      <c r="B4" s="55"/>
      <c r="C4" s="55"/>
      <c r="D4" s="55"/>
      <c r="E4" s="55"/>
      <c r="F4" s="55"/>
      <c r="G4" s="55"/>
      <c r="H4" s="55"/>
      <c r="I4" s="55"/>
      <c r="J4" s="55"/>
    </row>
    <row r="5" spans="1:10" ht="16.5" customHeight="1" x14ac:dyDescent="0.35">
      <c r="A5" s="56" t="s">
        <v>1</v>
      </c>
      <c r="B5" s="56"/>
      <c r="C5" s="56"/>
      <c r="D5" s="56"/>
      <c r="E5" s="56"/>
      <c r="F5" s="56"/>
      <c r="G5" s="56"/>
      <c r="H5" s="56"/>
      <c r="I5" s="56"/>
      <c r="J5" s="56"/>
    </row>
    <row r="6" spans="1:10" ht="16.5" customHeight="1" x14ac:dyDescent="0.35">
      <c r="A6" s="56"/>
      <c r="B6" s="56"/>
      <c r="C6" s="56"/>
      <c r="D6" s="56"/>
      <c r="E6" s="56"/>
      <c r="F6" s="56"/>
      <c r="G6" s="56"/>
      <c r="H6" s="56"/>
      <c r="I6" s="56"/>
      <c r="J6" s="56"/>
    </row>
    <row r="7" spans="1:10" ht="3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6.5" customHeight="1" x14ac:dyDescent="0.35"/>
    <row r="9" spans="1:10" ht="18.75" customHeight="1" x14ac:dyDescent="0.35">
      <c r="B9" s="54" t="s">
        <v>2</v>
      </c>
      <c r="C9" s="54"/>
      <c r="D9" s="54"/>
      <c r="E9" s="54" t="s">
        <v>3</v>
      </c>
      <c r="F9" s="54"/>
      <c r="G9" s="54"/>
      <c r="H9" s="54" t="s">
        <v>4</v>
      </c>
      <c r="I9" s="54"/>
      <c r="J9" s="54"/>
    </row>
    <row r="10" spans="1:10" ht="15" customHeight="1" x14ac:dyDescent="0.35">
      <c r="B10" s="53" t="s">
        <v>5</v>
      </c>
      <c r="C10" s="53"/>
      <c r="D10" s="53"/>
      <c r="E10" s="53" t="s">
        <v>6</v>
      </c>
      <c r="F10" s="53"/>
      <c r="G10" s="53"/>
      <c r="H10" s="53" t="s">
        <v>7</v>
      </c>
      <c r="I10" s="53"/>
      <c r="J10" s="53"/>
    </row>
    <row r="11" spans="1:10" ht="16.5" customHeight="1" x14ac:dyDescent="0.35"/>
    <row r="12" spans="1:10" ht="16.5" customHeight="1" x14ac:dyDescent="0.35"/>
    <row r="13" spans="1:10" ht="18.75" customHeight="1" x14ac:dyDescent="0.35">
      <c r="B13" s="54" t="s">
        <v>8</v>
      </c>
      <c r="C13" s="54"/>
      <c r="D13" s="54"/>
      <c r="E13" s="54" t="s">
        <v>9</v>
      </c>
      <c r="F13" s="54"/>
      <c r="G13" s="54"/>
      <c r="H13" s="54" t="s">
        <v>10</v>
      </c>
      <c r="I13" s="54"/>
      <c r="J13" s="54"/>
    </row>
    <row r="14" spans="1:10" ht="15" customHeight="1" x14ac:dyDescent="0.35">
      <c r="B14" s="53" t="s">
        <v>11</v>
      </c>
      <c r="C14" s="53"/>
      <c r="D14" s="53"/>
      <c r="E14" s="53" t="s">
        <v>12</v>
      </c>
      <c r="F14" s="53"/>
      <c r="G14" s="53"/>
      <c r="H14" s="53" t="s">
        <v>13</v>
      </c>
      <c r="I14" s="53"/>
      <c r="J14" s="53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A1:J4"/>
    <mergeCell ref="A5:J6"/>
    <mergeCell ref="B9:D9"/>
    <mergeCell ref="E9:G9"/>
    <mergeCell ref="H9:J9"/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rightToLeft="1" topLeftCell="A25" zoomScaleNormal="100" workbookViewId="0">
      <selection activeCell="F38" sqref="F38"/>
    </sheetView>
  </sheetViews>
  <sheetFormatPr defaultColWidth="8.6328125" defaultRowHeight="14.5" x14ac:dyDescent="0.35"/>
  <cols>
    <col min="1" max="1" width="6" style="26" customWidth="1"/>
    <col min="2" max="2" width="28" style="26" customWidth="1"/>
    <col min="3" max="4" width="10" style="26" customWidth="1"/>
    <col min="5" max="6" width="16" style="26" customWidth="1"/>
    <col min="7" max="7" width="20" style="26" customWidth="1"/>
    <col min="8" max="8" width="14" style="26" customWidth="1"/>
    <col min="9" max="10" width="10" style="26" customWidth="1"/>
    <col min="11" max="16384" width="8.6328125" style="26"/>
  </cols>
  <sheetData>
    <row r="1" spans="1:10" ht="27.75" customHeight="1" x14ac:dyDescent="0.35">
      <c r="A1" s="52" t="s">
        <v>14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16.5" customHeight="1" x14ac:dyDescent="0.35">
      <c r="A2" s="27" t="s">
        <v>15</v>
      </c>
      <c r="B2" s="51"/>
      <c r="C2" s="51"/>
      <c r="D2" s="51"/>
      <c r="F2" s="27" t="s">
        <v>16</v>
      </c>
      <c r="G2" s="51"/>
      <c r="H2" s="51"/>
      <c r="I2" s="51"/>
    </row>
    <row r="3" spans="1:10" ht="16.5" customHeight="1" x14ac:dyDescent="0.35">
      <c r="A3" s="27" t="s">
        <v>17</v>
      </c>
      <c r="B3" s="51"/>
      <c r="C3" s="51"/>
      <c r="D3" s="51"/>
      <c r="F3" s="27" t="s">
        <v>18</v>
      </c>
      <c r="G3" s="51"/>
      <c r="H3" s="51"/>
      <c r="I3" s="51"/>
    </row>
    <row r="4" spans="1:10" ht="16.5" customHeight="1" x14ac:dyDescent="0.35">
      <c r="A4" s="27" t="s">
        <v>19</v>
      </c>
      <c r="B4" s="51"/>
      <c r="C4" s="51"/>
      <c r="D4" s="51"/>
      <c r="F4" s="27" t="s">
        <v>20</v>
      </c>
      <c r="G4" s="51"/>
      <c r="H4" s="51"/>
      <c r="I4" s="51"/>
    </row>
    <row r="6" spans="1:10" ht="21.75" customHeight="1" x14ac:dyDescent="0.35">
      <c r="A6" s="28" t="s">
        <v>21</v>
      </c>
      <c r="B6" s="28" t="s">
        <v>22</v>
      </c>
      <c r="C6" s="28" t="s">
        <v>23</v>
      </c>
      <c r="D6" s="28" t="s">
        <v>24</v>
      </c>
      <c r="E6" s="28" t="s">
        <v>25</v>
      </c>
      <c r="F6" s="28" t="s">
        <v>26</v>
      </c>
      <c r="G6" s="28" t="s">
        <v>27</v>
      </c>
      <c r="H6" s="28" t="s">
        <v>28</v>
      </c>
      <c r="I6" s="28" t="s">
        <v>29</v>
      </c>
      <c r="J6" s="28" t="s">
        <v>30</v>
      </c>
    </row>
    <row r="7" spans="1:10" ht="18" customHeight="1" x14ac:dyDescent="0.35">
      <c r="A7" s="48" t="s">
        <v>31</v>
      </c>
      <c r="B7" s="48"/>
      <c r="C7" s="48"/>
      <c r="D7" s="48"/>
      <c r="E7" s="48"/>
      <c r="F7" s="48"/>
      <c r="G7" s="48"/>
      <c r="H7" s="48"/>
      <c r="I7" s="48"/>
      <c r="J7" s="48"/>
    </row>
    <row r="8" spans="1:10" ht="15.75" customHeight="1" x14ac:dyDescent="0.35">
      <c r="A8" s="29">
        <v>1</v>
      </c>
      <c r="B8" s="30" t="s">
        <v>32</v>
      </c>
      <c r="C8" s="31" t="s">
        <v>33</v>
      </c>
      <c r="D8" s="32">
        <v>0</v>
      </c>
      <c r="E8" s="32">
        <v>0</v>
      </c>
      <c r="F8" s="38">
        <f>D8*E8</f>
        <v>0</v>
      </c>
      <c r="G8" s="30"/>
      <c r="H8" s="30"/>
      <c r="I8" s="31" t="s">
        <v>34</v>
      </c>
      <c r="J8" s="30" t="s">
        <v>35</v>
      </c>
    </row>
    <row r="9" spans="1:10" ht="15.75" customHeight="1" x14ac:dyDescent="0.35">
      <c r="A9" s="29">
        <v>2</v>
      </c>
      <c r="B9" s="30" t="s">
        <v>36</v>
      </c>
      <c r="C9" s="31" t="s">
        <v>37</v>
      </c>
      <c r="D9" s="32">
        <v>0</v>
      </c>
      <c r="E9" s="32">
        <v>0</v>
      </c>
      <c r="F9" s="38">
        <f>D9*E9</f>
        <v>0</v>
      </c>
      <c r="G9" s="30"/>
      <c r="H9" s="30"/>
      <c r="I9" s="31" t="s">
        <v>34</v>
      </c>
      <c r="J9" s="30" t="s">
        <v>38</v>
      </c>
    </row>
    <row r="10" spans="1:10" ht="15.75" customHeight="1" x14ac:dyDescent="0.35">
      <c r="A10" s="29">
        <v>3</v>
      </c>
      <c r="B10" s="30" t="s">
        <v>39</v>
      </c>
      <c r="C10" s="31" t="s">
        <v>37</v>
      </c>
      <c r="D10" s="32">
        <v>0</v>
      </c>
      <c r="E10" s="32">
        <v>0</v>
      </c>
      <c r="F10" s="38">
        <f>D10*E10</f>
        <v>0</v>
      </c>
      <c r="G10" s="30"/>
      <c r="H10" s="30"/>
      <c r="I10" s="31" t="s">
        <v>34</v>
      </c>
      <c r="J10" s="30" t="s">
        <v>40</v>
      </c>
    </row>
    <row r="11" spans="1:10" ht="18" customHeight="1" x14ac:dyDescent="0.35">
      <c r="A11" s="49" t="s">
        <v>41</v>
      </c>
      <c r="B11" s="49"/>
      <c r="C11" s="49"/>
      <c r="D11" s="49"/>
      <c r="E11" s="49"/>
      <c r="F11" s="39">
        <f>SUM(F8:F10)</f>
        <v>0</v>
      </c>
    </row>
    <row r="12" spans="1:10" ht="18" customHeight="1" x14ac:dyDescent="0.35">
      <c r="A12" s="48" t="s">
        <v>42</v>
      </c>
      <c r="B12" s="48"/>
      <c r="C12" s="48"/>
      <c r="D12" s="48"/>
      <c r="E12" s="48"/>
      <c r="F12" s="48"/>
      <c r="G12" s="48"/>
      <c r="H12" s="48"/>
      <c r="I12" s="48"/>
      <c r="J12" s="48"/>
    </row>
    <row r="13" spans="1:10" ht="15.75" customHeight="1" x14ac:dyDescent="0.35">
      <c r="A13" s="29">
        <v>4</v>
      </c>
      <c r="B13" s="30" t="s">
        <v>43</v>
      </c>
      <c r="C13" s="31" t="s">
        <v>37</v>
      </c>
      <c r="D13" s="32">
        <v>0</v>
      </c>
      <c r="E13" s="32">
        <v>0</v>
      </c>
      <c r="F13" s="38">
        <f>D13*E13</f>
        <v>0</v>
      </c>
      <c r="G13" s="30"/>
      <c r="H13" s="30"/>
      <c r="I13" s="31" t="s">
        <v>34</v>
      </c>
      <c r="J13" s="30" t="s">
        <v>44</v>
      </c>
    </row>
    <row r="14" spans="1:10" ht="15.75" customHeight="1" x14ac:dyDescent="0.35">
      <c r="A14" s="29">
        <v>5</v>
      </c>
      <c r="B14" s="30" t="s">
        <v>45</v>
      </c>
      <c r="C14" s="31" t="s">
        <v>37</v>
      </c>
      <c r="D14" s="32">
        <v>0</v>
      </c>
      <c r="E14" s="32">
        <v>0</v>
      </c>
      <c r="F14" s="38">
        <f>D14*E14</f>
        <v>0</v>
      </c>
      <c r="G14" s="30"/>
      <c r="H14" s="30"/>
      <c r="I14" s="31" t="s">
        <v>34</v>
      </c>
      <c r="J14" s="30" t="s">
        <v>46</v>
      </c>
    </row>
    <row r="15" spans="1:10" ht="15.75" customHeight="1" x14ac:dyDescent="0.35">
      <c r="A15" s="29">
        <v>6</v>
      </c>
      <c r="B15" s="30" t="s">
        <v>47</v>
      </c>
      <c r="C15" s="31" t="s">
        <v>37</v>
      </c>
      <c r="D15" s="32">
        <v>0</v>
      </c>
      <c r="E15" s="32">
        <v>0</v>
      </c>
      <c r="F15" s="38">
        <f>D15*E15</f>
        <v>0</v>
      </c>
      <c r="G15" s="30"/>
      <c r="H15" s="30"/>
      <c r="I15" s="31" t="s">
        <v>34</v>
      </c>
      <c r="J15" s="30" t="s">
        <v>48</v>
      </c>
    </row>
    <row r="16" spans="1:10" ht="15.75" customHeight="1" x14ac:dyDescent="0.35">
      <c r="A16" s="29">
        <v>7</v>
      </c>
      <c r="B16" s="30" t="s">
        <v>49</v>
      </c>
      <c r="C16" s="31" t="s">
        <v>50</v>
      </c>
      <c r="D16" s="32">
        <v>0</v>
      </c>
      <c r="E16" s="32">
        <v>0</v>
      </c>
      <c r="F16" s="38">
        <f>D16*E16</f>
        <v>0</v>
      </c>
      <c r="G16" s="30"/>
      <c r="H16" s="30"/>
      <c r="I16" s="31" t="s">
        <v>34</v>
      </c>
      <c r="J16" s="30" t="s">
        <v>51</v>
      </c>
    </row>
    <row r="17" spans="1:10" ht="18" customHeight="1" x14ac:dyDescent="0.35">
      <c r="A17" s="49" t="s">
        <v>52</v>
      </c>
      <c r="B17" s="49"/>
      <c r="C17" s="49"/>
      <c r="D17" s="49"/>
      <c r="E17" s="49"/>
      <c r="F17" s="39">
        <f>SUM(F13:F16)</f>
        <v>0</v>
      </c>
    </row>
    <row r="18" spans="1:10" ht="18" customHeight="1" x14ac:dyDescent="0.35">
      <c r="A18" s="48" t="s">
        <v>53</v>
      </c>
      <c r="B18" s="48"/>
      <c r="C18" s="48"/>
      <c r="D18" s="48"/>
      <c r="E18" s="48"/>
      <c r="F18" s="48"/>
      <c r="G18" s="48"/>
      <c r="H18" s="48"/>
      <c r="I18" s="48"/>
      <c r="J18" s="48"/>
    </row>
    <row r="19" spans="1:10" ht="15.75" customHeight="1" x14ac:dyDescent="0.35">
      <c r="A19" s="29">
        <v>8</v>
      </c>
      <c r="B19" s="30" t="s">
        <v>54</v>
      </c>
      <c r="C19" s="31" t="s">
        <v>33</v>
      </c>
      <c r="D19" s="32">
        <v>0</v>
      </c>
      <c r="E19" s="32">
        <v>0</v>
      </c>
      <c r="F19" s="38">
        <f>D19*E19</f>
        <v>0</v>
      </c>
      <c r="G19" s="30"/>
      <c r="H19" s="30"/>
      <c r="I19" s="31" t="s">
        <v>34</v>
      </c>
      <c r="J19" s="30" t="s">
        <v>55</v>
      </c>
    </row>
    <row r="20" spans="1:10" ht="15.75" customHeight="1" x14ac:dyDescent="0.35">
      <c r="A20" s="29">
        <v>9</v>
      </c>
      <c r="B20" s="30" t="s">
        <v>56</v>
      </c>
      <c r="C20" s="31" t="s">
        <v>33</v>
      </c>
      <c r="D20" s="32">
        <v>0</v>
      </c>
      <c r="E20" s="32">
        <v>0</v>
      </c>
      <c r="F20" s="38">
        <f>D20*E20</f>
        <v>0</v>
      </c>
      <c r="G20" s="30"/>
      <c r="H20" s="30"/>
      <c r="I20" s="31" t="s">
        <v>34</v>
      </c>
      <c r="J20" s="30" t="s">
        <v>57</v>
      </c>
    </row>
    <row r="21" spans="1:10" ht="15.75" customHeight="1" x14ac:dyDescent="0.35">
      <c r="A21" s="29">
        <v>10</v>
      </c>
      <c r="B21" s="30" t="s">
        <v>58</v>
      </c>
      <c r="C21" s="31" t="s">
        <v>33</v>
      </c>
      <c r="D21" s="32">
        <v>0</v>
      </c>
      <c r="E21" s="32">
        <v>0</v>
      </c>
      <c r="F21" s="38">
        <f>D21*E21</f>
        <v>0</v>
      </c>
      <c r="G21" s="30"/>
      <c r="H21" s="30"/>
      <c r="I21" s="31" t="s">
        <v>34</v>
      </c>
      <c r="J21" s="30" t="s">
        <v>59</v>
      </c>
    </row>
    <row r="22" spans="1:10" ht="18" customHeight="1" x14ac:dyDescent="0.35">
      <c r="A22" s="49" t="s">
        <v>60</v>
      </c>
      <c r="B22" s="49"/>
      <c r="C22" s="49"/>
      <c r="D22" s="49"/>
      <c r="E22" s="49"/>
      <c r="F22" s="39">
        <f>SUM(F19:F21)</f>
        <v>0</v>
      </c>
    </row>
    <row r="23" spans="1:10" ht="18" customHeight="1" x14ac:dyDescent="0.35">
      <c r="A23" s="48" t="s">
        <v>61</v>
      </c>
      <c r="B23" s="48"/>
      <c r="C23" s="48"/>
      <c r="D23" s="48"/>
      <c r="E23" s="48"/>
      <c r="F23" s="48"/>
      <c r="G23" s="48"/>
      <c r="H23" s="48"/>
      <c r="I23" s="48"/>
      <c r="J23" s="48"/>
    </row>
    <row r="24" spans="1:10" ht="15.75" customHeight="1" x14ac:dyDescent="0.35">
      <c r="A24" s="29">
        <v>11</v>
      </c>
      <c r="B24" s="30" t="s">
        <v>62</v>
      </c>
      <c r="C24" s="31" t="s">
        <v>33</v>
      </c>
      <c r="D24" s="32">
        <v>0</v>
      </c>
      <c r="E24" s="32">
        <v>0</v>
      </c>
      <c r="F24" s="38">
        <f>D24*E24</f>
        <v>0</v>
      </c>
      <c r="G24" s="30"/>
      <c r="H24" s="30"/>
      <c r="I24" s="31" t="s">
        <v>34</v>
      </c>
      <c r="J24" s="30" t="s">
        <v>63</v>
      </c>
    </row>
    <row r="25" spans="1:10" ht="15.75" customHeight="1" x14ac:dyDescent="0.35">
      <c r="A25" s="29">
        <v>12</v>
      </c>
      <c r="B25" s="30" t="s">
        <v>64</v>
      </c>
      <c r="C25" s="31" t="s">
        <v>33</v>
      </c>
      <c r="D25" s="32">
        <v>0</v>
      </c>
      <c r="E25" s="32">
        <v>0</v>
      </c>
      <c r="F25" s="38">
        <f>D25*E25</f>
        <v>0</v>
      </c>
      <c r="G25" s="30"/>
      <c r="H25" s="30"/>
      <c r="I25" s="31" t="s">
        <v>34</v>
      </c>
      <c r="J25" s="30" t="s">
        <v>65</v>
      </c>
    </row>
    <row r="26" spans="1:10" ht="15.75" customHeight="1" x14ac:dyDescent="0.35">
      <c r="A26" s="29">
        <v>13</v>
      </c>
      <c r="B26" s="30" t="s">
        <v>66</v>
      </c>
      <c r="C26" s="31" t="s">
        <v>33</v>
      </c>
      <c r="D26" s="32">
        <v>0</v>
      </c>
      <c r="E26" s="32">
        <v>0</v>
      </c>
      <c r="F26" s="38">
        <f>D26*E26</f>
        <v>0</v>
      </c>
      <c r="G26" s="30"/>
      <c r="H26" s="30"/>
      <c r="I26" s="31" t="s">
        <v>34</v>
      </c>
      <c r="J26" s="30" t="s">
        <v>67</v>
      </c>
    </row>
    <row r="27" spans="1:10" ht="15.75" customHeight="1" x14ac:dyDescent="0.35">
      <c r="A27" s="29">
        <v>14</v>
      </c>
      <c r="B27" s="30" t="s">
        <v>68</v>
      </c>
      <c r="C27" s="31" t="s">
        <v>33</v>
      </c>
      <c r="D27" s="32">
        <v>0</v>
      </c>
      <c r="E27" s="32">
        <v>0</v>
      </c>
      <c r="F27" s="38">
        <f>D27*E27</f>
        <v>0</v>
      </c>
      <c r="G27" s="30"/>
      <c r="H27" s="30"/>
      <c r="I27" s="31" t="s">
        <v>34</v>
      </c>
      <c r="J27" s="30" t="s">
        <v>69</v>
      </c>
    </row>
    <row r="28" spans="1:10" ht="18" customHeight="1" x14ac:dyDescent="0.35">
      <c r="A28" s="49" t="s">
        <v>70</v>
      </c>
      <c r="B28" s="49"/>
      <c r="C28" s="49"/>
      <c r="D28" s="49"/>
      <c r="E28" s="49"/>
      <c r="F28" s="39">
        <f>SUM(F24:F27)</f>
        <v>0</v>
      </c>
    </row>
    <row r="29" spans="1:10" ht="18" customHeight="1" x14ac:dyDescent="0.35">
      <c r="A29" s="48" t="s">
        <v>71</v>
      </c>
      <c r="B29" s="48"/>
      <c r="C29" s="48"/>
      <c r="D29" s="48"/>
      <c r="E29" s="48"/>
      <c r="F29" s="48"/>
      <c r="G29" s="48"/>
      <c r="H29" s="48"/>
      <c r="I29" s="48"/>
      <c r="J29" s="48"/>
    </row>
    <row r="30" spans="1:10" ht="15.75" customHeight="1" x14ac:dyDescent="0.35">
      <c r="A30" s="29">
        <v>15</v>
      </c>
      <c r="B30" s="30" t="s">
        <v>72</v>
      </c>
      <c r="C30" s="31" t="s">
        <v>73</v>
      </c>
      <c r="D30" s="32">
        <v>0</v>
      </c>
      <c r="E30" s="32">
        <v>0</v>
      </c>
      <c r="F30" s="38">
        <f>D30*E30</f>
        <v>0</v>
      </c>
      <c r="G30" s="30"/>
      <c r="H30" s="30"/>
      <c r="I30" s="31" t="s">
        <v>34</v>
      </c>
      <c r="J30" s="30" t="s">
        <v>74</v>
      </c>
    </row>
    <row r="31" spans="1:10" ht="15.75" customHeight="1" x14ac:dyDescent="0.35">
      <c r="A31" s="29">
        <v>16</v>
      </c>
      <c r="B31" s="30" t="s">
        <v>75</v>
      </c>
      <c r="C31" s="31" t="s">
        <v>76</v>
      </c>
      <c r="D31" s="32">
        <v>0</v>
      </c>
      <c r="E31" s="32">
        <v>0</v>
      </c>
      <c r="F31" s="38">
        <f>D31*E31</f>
        <v>0</v>
      </c>
      <c r="G31" s="30"/>
      <c r="H31" s="30"/>
      <c r="I31" s="31" t="s">
        <v>34</v>
      </c>
      <c r="J31" s="30" t="s">
        <v>77</v>
      </c>
    </row>
    <row r="32" spans="1:10" ht="15.75" customHeight="1" x14ac:dyDescent="0.35">
      <c r="A32" s="29">
        <v>17</v>
      </c>
      <c r="B32" s="30" t="s">
        <v>78</v>
      </c>
      <c r="C32" s="31" t="s">
        <v>73</v>
      </c>
      <c r="D32" s="32">
        <v>0</v>
      </c>
      <c r="E32" s="32">
        <v>0</v>
      </c>
      <c r="F32" s="38">
        <f>D32*E32</f>
        <v>0</v>
      </c>
      <c r="G32" s="30"/>
      <c r="H32" s="30"/>
      <c r="I32" s="31" t="s">
        <v>34</v>
      </c>
      <c r="J32" s="30" t="s">
        <v>79</v>
      </c>
    </row>
    <row r="33" spans="1:10" ht="15.75" customHeight="1" x14ac:dyDescent="0.35">
      <c r="A33" s="29">
        <v>18</v>
      </c>
      <c r="B33" s="30" t="s">
        <v>80</v>
      </c>
      <c r="C33" s="31" t="s">
        <v>81</v>
      </c>
      <c r="D33" s="32">
        <v>3</v>
      </c>
      <c r="E33" s="32">
        <v>33</v>
      </c>
      <c r="F33" s="38">
        <f>D33*E33</f>
        <v>99</v>
      </c>
      <c r="G33" s="30"/>
      <c r="H33" s="30"/>
      <c r="I33" s="31" t="s">
        <v>34</v>
      </c>
      <c r="J33" s="30" t="s">
        <v>82</v>
      </c>
    </row>
    <row r="34" spans="1:10" ht="18" customHeight="1" x14ac:dyDescent="0.35">
      <c r="A34" s="49" t="s">
        <v>83</v>
      </c>
      <c r="B34" s="49"/>
      <c r="C34" s="49"/>
      <c r="D34" s="49"/>
      <c r="E34" s="49"/>
      <c r="F34" s="39">
        <f>SUM(F30:F33)</f>
        <v>99</v>
      </c>
    </row>
    <row r="35" spans="1:10" ht="18" customHeight="1" x14ac:dyDescent="0.35">
      <c r="A35" s="48" t="s">
        <v>84</v>
      </c>
      <c r="B35" s="48"/>
      <c r="C35" s="48"/>
      <c r="D35" s="48"/>
      <c r="E35" s="48"/>
      <c r="F35" s="48"/>
      <c r="G35" s="48"/>
      <c r="H35" s="48"/>
      <c r="I35" s="48"/>
      <c r="J35" s="48"/>
    </row>
    <row r="36" spans="1:10" ht="15.75" customHeight="1" x14ac:dyDescent="0.35">
      <c r="A36" s="29">
        <v>19</v>
      </c>
      <c r="B36" s="30" t="s">
        <v>85</v>
      </c>
      <c r="C36" s="31" t="s">
        <v>33</v>
      </c>
      <c r="D36" s="32">
        <v>0</v>
      </c>
      <c r="E36" s="32">
        <v>0</v>
      </c>
      <c r="F36" s="38">
        <f>D36*E36</f>
        <v>0</v>
      </c>
      <c r="G36" s="30"/>
      <c r="H36" s="30"/>
      <c r="I36" s="31" t="s">
        <v>34</v>
      </c>
      <c r="J36" s="30" t="s">
        <v>86</v>
      </c>
    </row>
    <row r="37" spans="1:10" ht="15.75" customHeight="1" x14ac:dyDescent="0.35">
      <c r="A37" s="29">
        <v>20</v>
      </c>
      <c r="B37" s="30" t="s">
        <v>87</v>
      </c>
      <c r="C37" s="31" t="s">
        <v>88</v>
      </c>
      <c r="D37" s="32">
        <v>0</v>
      </c>
      <c r="E37" s="32">
        <v>3</v>
      </c>
      <c r="F37" s="38">
        <f>D37*E37</f>
        <v>0</v>
      </c>
      <c r="G37" s="30"/>
      <c r="H37" s="30"/>
      <c r="I37" s="31" t="s">
        <v>34</v>
      </c>
      <c r="J37" s="30" t="s">
        <v>89</v>
      </c>
    </row>
    <row r="38" spans="1:10" ht="18" customHeight="1" x14ac:dyDescent="0.35">
      <c r="A38" s="49" t="s">
        <v>90</v>
      </c>
      <c r="B38" s="49"/>
      <c r="C38" s="49"/>
      <c r="D38" s="49"/>
      <c r="E38" s="49"/>
      <c r="F38" s="39">
        <f>SUM(F36:F37)</f>
        <v>0</v>
      </c>
    </row>
    <row r="39" spans="1:10" ht="19.5" customHeight="1" x14ac:dyDescent="0.35">
      <c r="A39" s="50" t="s">
        <v>91</v>
      </c>
      <c r="B39" s="50"/>
      <c r="C39" s="50"/>
      <c r="D39" s="50"/>
      <c r="E39" s="50"/>
      <c r="F39" s="39">
        <f>SUM(F11,F17,F22,F28,F34,F38)</f>
        <v>99</v>
      </c>
    </row>
    <row r="40" spans="1:10" ht="16.5" customHeight="1" x14ac:dyDescent="0.35">
      <c r="A40" s="46" t="s">
        <v>92</v>
      </c>
      <c r="B40" s="46"/>
      <c r="C40" s="46"/>
      <c r="D40" s="46"/>
      <c r="E40" s="46"/>
      <c r="F40" s="38">
        <f>F39*0.1</f>
        <v>9.9</v>
      </c>
    </row>
    <row r="41" spans="1:10" ht="24" customHeight="1" x14ac:dyDescent="0.35">
      <c r="A41" s="47" t="s">
        <v>93</v>
      </c>
      <c r="B41" s="47"/>
      <c r="C41" s="47"/>
      <c r="D41" s="47"/>
      <c r="E41" s="47"/>
      <c r="F41" s="39">
        <f>F39+F40</f>
        <v>108.9</v>
      </c>
    </row>
    <row r="43" spans="1:10" x14ac:dyDescent="0.35">
      <c r="A43" s="33" t="s">
        <v>94</v>
      </c>
    </row>
    <row r="44" spans="1:10" ht="12.75" customHeight="1" x14ac:dyDescent="0.35">
      <c r="A44" s="34" t="s">
        <v>95</v>
      </c>
    </row>
    <row r="45" spans="1:10" ht="12.75" customHeight="1" x14ac:dyDescent="0.35">
      <c r="A45" s="35" t="s">
        <v>96</v>
      </c>
    </row>
    <row r="46" spans="1:10" ht="12.75" customHeight="1" x14ac:dyDescent="0.35">
      <c r="A46" s="36" t="s">
        <v>97</v>
      </c>
    </row>
    <row r="47" spans="1:10" ht="12.75" customHeight="1" x14ac:dyDescent="0.35">
      <c r="A47" s="37" t="s">
        <v>98</v>
      </c>
    </row>
  </sheetData>
  <sheetProtection algorithmName="SHA-512" hashValue="nCbR+6wri0YZA9l5NC91GjJlACaRqrC5U6zCU/bRrQcf+Q8l4pD6/29BbcVyPIPLADYQhjnF8D3o7LNj2yJ1iw==" saltValue="xkA0B6Ex+vTIGsY/Xmpuew==" spinCount="100000" sheet="1" objects="1" scenarios="1"/>
  <mergeCells count="22">
    <mergeCell ref="A1:J1"/>
    <mergeCell ref="B2:D2"/>
    <mergeCell ref="G2:I2"/>
    <mergeCell ref="B3:D3"/>
    <mergeCell ref="G3:I3"/>
    <mergeCell ref="B4:D4"/>
    <mergeCell ref="G4:I4"/>
    <mergeCell ref="A7:J7"/>
    <mergeCell ref="A11:E11"/>
    <mergeCell ref="A12:J12"/>
    <mergeCell ref="A17:E17"/>
    <mergeCell ref="A18:J18"/>
    <mergeCell ref="A22:E22"/>
    <mergeCell ref="A23:J23"/>
    <mergeCell ref="A28:E28"/>
    <mergeCell ref="A40:E40"/>
    <mergeCell ref="A41:E41"/>
    <mergeCell ref="A29:J29"/>
    <mergeCell ref="A34:E34"/>
    <mergeCell ref="A35:J35"/>
    <mergeCell ref="A38:E38"/>
    <mergeCell ref="A39:E3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7"/>
  <sheetViews>
    <sheetView rightToLeft="1" zoomScaleNormal="100" workbookViewId="0">
      <selection sqref="A1:R1"/>
    </sheetView>
  </sheetViews>
  <sheetFormatPr defaultColWidth="8.6328125" defaultRowHeight="14.5" x14ac:dyDescent="0.35"/>
  <cols>
    <col min="1" max="1" width="28" customWidth="1"/>
    <col min="2" max="2" width="16" customWidth="1"/>
    <col min="3" max="4" width="10" customWidth="1"/>
    <col min="5" max="5" width="8" customWidth="1"/>
    <col min="6" max="21" width="5" customWidth="1"/>
  </cols>
  <sheetData>
    <row r="1" spans="1:21" ht="27.75" customHeight="1" x14ac:dyDescent="0.35">
      <c r="A1" s="57" t="s">
        <v>99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</row>
    <row r="2" spans="1:21" ht="21.75" customHeight="1" x14ac:dyDescent="0.35">
      <c r="A2" s="3" t="s">
        <v>100</v>
      </c>
      <c r="B2" s="3" t="s">
        <v>101</v>
      </c>
      <c r="C2" s="3" t="s">
        <v>102</v>
      </c>
      <c r="D2" s="3" t="s">
        <v>103</v>
      </c>
      <c r="E2" s="12" t="s">
        <v>104</v>
      </c>
      <c r="F2" s="13" t="s">
        <v>105</v>
      </c>
      <c r="G2" s="13" t="s">
        <v>106</v>
      </c>
      <c r="H2" s="13" t="s">
        <v>107</v>
      </c>
      <c r="I2" s="13" t="s">
        <v>108</v>
      </c>
      <c r="J2" s="13" t="s">
        <v>109</v>
      </c>
      <c r="K2" s="13" t="s">
        <v>110</v>
      </c>
      <c r="L2" s="13" t="s">
        <v>111</v>
      </c>
      <c r="M2" s="13" t="s">
        <v>112</v>
      </c>
      <c r="N2" s="13" t="s">
        <v>113</v>
      </c>
      <c r="O2" s="13" t="s">
        <v>114</v>
      </c>
      <c r="P2" s="13" t="s">
        <v>115</v>
      </c>
      <c r="Q2" s="13" t="s">
        <v>116</v>
      </c>
      <c r="R2" s="13" t="s">
        <v>117</v>
      </c>
      <c r="S2" s="13" t="s">
        <v>118</v>
      </c>
      <c r="T2" s="13" t="s">
        <v>119</v>
      </c>
      <c r="U2" s="13" t="s">
        <v>120</v>
      </c>
    </row>
    <row r="3" spans="1:21" ht="15.75" customHeight="1" x14ac:dyDescent="0.35">
      <c r="A3" s="5" t="s">
        <v>121</v>
      </c>
      <c r="B3" s="6" t="s">
        <v>122</v>
      </c>
      <c r="C3" s="6" t="s">
        <v>123</v>
      </c>
      <c r="D3" s="6" t="s">
        <v>124</v>
      </c>
      <c r="E3" s="14">
        <v>0</v>
      </c>
      <c r="F3" s="15" t="s">
        <v>125</v>
      </c>
      <c r="G3" s="15" t="s">
        <v>125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ht="15.75" customHeight="1" x14ac:dyDescent="0.35">
      <c r="A4" s="5" t="s">
        <v>126</v>
      </c>
      <c r="B4" s="6" t="s">
        <v>127</v>
      </c>
      <c r="C4" s="6" t="s">
        <v>124</v>
      </c>
      <c r="D4" s="6" t="s">
        <v>128</v>
      </c>
      <c r="E4" s="14">
        <v>0</v>
      </c>
      <c r="F4" s="16"/>
      <c r="G4" s="15" t="s">
        <v>125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15.75" customHeight="1" x14ac:dyDescent="0.35">
      <c r="A5" s="5" t="s">
        <v>129</v>
      </c>
      <c r="B5" s="6" t="s">
        <v>130</v>
      </c>
      <c r="C5" s="6" t="s">
        <v>128</v>
      </c>
      <c r="D5" s="6" t="s">
        <v>131</v>
      </c>
      <c r="E5" s="14">
        <v>0</v>
      </c>
      <c r="F5" s="16"/>
      <c r="G5" s="16"/>
      <c r="H5" s="15" t="s">
        <v>125</v>
      </c>
      <c r="I5" s="15" t="s">
        <v>125</v>
      </c>
      <c r="J5" s="15" t="s">
        <v>125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15.75" customHeight="1" x14ac:dyDescent="0.35">
      <c r="A6" s="5" t="s">
        <v>132</v>
      </c>
      <c r="B6" s="6" t="s">
        <v>133</v>
      </c>
      <c r="C6" s="6" t="s">
        <v>131</v>
      </c>
      <c r="D6" s="6" t="s">
        <v>134</v>
      </c>
      <c r="E6" s="14">
        <v>0</v>
      </c>
      <c r="F6" s="16"/>
      <c r="G6" s="16"/>
      <c r="H6" s="16"/>
      <c r="I6" s="16"/>
      <c r="J6" s="15" t="s">
        <v>125</v>
      </c>
      <c r="K6" s="15" t="s">
        <v>125</v>
      </c>
      <c r="L6" s="15" t="s">
        <v>125</v>
      </c>
      <c r="M6" s="15" t="s">
        <v>125</v>
      </c>
      <c r="N6" s="15" t="s">
        <v>125</v>
      </c>
      <c r="O6" s="16"/>
      <c r="P6" s="16"/>
      <c r="Q6" s="16"/>
      <c r="R6" s="16"/>
      <c r="S6" s="16"/>
      <c r="T6" s="16"/>
      <c r="U6" s="16"/>
    </row>
    <row r="7" spans="1:21" ht="15.75" customHeight="1" x14ac:dyDescent="0.35">
      <c r="A7" s="5" t="s">
        <v>135</v>
      </c>
      <c r="B7" s="6" t="s">
        <v>136</v>
      </c>
      <c r="C7" s="6" t="s">
        <v>134</v>
      </c>
      <c r="D7" s="6" t="s">
        <v>137</v>
      </c>
      <c r="E7" s="14">
        <v>0</v>
      </c>
      <c r="F7" s="16"/>
      <c r="G7" s="16"/>
      <c r="H7" s="16"/>
      <c r="I7" s="16"/>
      <c r="J7" s="16"/>
      <c r="K7" s="16"/>
      <c r="L7" s="16"/>
      <c r="M7" s="16"/>
      <c r="N7" s="15" t="s">
        <v>125</v>
      </c>
      <c r="O7" s="15" t="s">
        <v>125</v>
      </c>
      <c r="P7" s="15" t="s">
        <v>125</v>
      </c>
      <c r="Q7" s="15" t="s">
        <v>125</v>
      </c>
      <c r="R7" s="15" t="s">
        <v>125</v>
      </c>
      <c r="S7" s="16"/>
      <c r="T7" s="16"/>
      <c r="U7" s="16"/>
    </row>
    <row r="8" spans="1:21" ht="15.75" customHeight="1" x14ac:dyDescent="0.35">
      <c r="A8" s="5" t="s">
        <v>138</v>
      </c>
      <c r="B8" s="6" t="s">
        <v>139</v>
      </c>
      <c r="C8" s="6" t="s">
        <v>140</v>
      </c>
      <c r="D8" s="6" t="s">
        <v>141</v>
      </c>
      <c r="E8" s="14">
        <v>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 t="s">
        <v>125</v>
      </c>
      <c r="Q8" s="15" t="s">
        <v>125</v>
      </c>
      <c r="R8" s="15" t="s">
        <v>125</v>
      </c>
      <c r="S8" s="15" t="s">
        <v>125</v>
      </c>
      <c r="T8" s="16"/>
      <c r="U8" s="16"/>
    </row>
    <row r="9" spans="1:21" ht="15.75" customHeight="1" x14ac:dyDescent="0.35">
      <c r="A9" s="5" t="s">
        <v>61</v>
      </c>
      <c r="B9" s="6" t="s">
        <v>142</v>
      </c>
      <c r="C9" s="6" t="s">
        <v>137</v>
      </c>
      <c r="D9" s="6" t="s">
        <v>143</v>
      </c>
      <c r="E9" s="14">
        <v>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5" t="s">
        <v>125</v>
      </c>
      <c r="S9" s="15" t="s">
        <v>125</v>
      </c>
      <c r="T9" s="15" t="s">
        <v>125</v>
      </c>
      <c r="U9" s="15" t="s">
        <v>125</v>
      </c>
    </row>
    <row r="10" spans="1:21" ht="15.75" customHeight="1" x14ac:dyDescent="0.35">
      <c r="A10" s="5" t="s">
        <v>144</v>
      </c>
      <c r="B10" s="6" t="s">
        <v>145</v>
      </c>
      <c r="C10" s="6" t="s">
        <v>143</v>
      </c>
      <c r="D10" s="6" t="s">
        <v>143</v>
      </c>
      <c r="E10" s="14">
        <v>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5" t="s">
        <v>125</v>
      </c>
    </row>
    <row r="13" spans="1:21" x14ac:dyDescent="0.35">
      <c r="A13" s="7" t="s">
        <v>94</v>
      </c>
    </row>
    <row r="14" spans="1:21" ht="12.75" customHeight="1" x14ac:dyDescent="0.35">
      <c r="A14" s="8" t="s">
        <v>95</v>
      </c>
    </row>
    <row r="15" spans="1:21" ht="12.75" customHeight="1" x14ac:dyDescent="0.35">
      <c r="A15" s="9" t="s">
        <v>96</v>
      </c>
    </row>
    <row r="16" spans="1:21" ht="12.75" customHeight="1" x14ac:dyDescent="0.35">
      <c r="A16" s="10" t="s">
        <v>97</v>
      </c>
    </row>
    <row r="17" spans="1:1" ht="12.75" customHeight="1" x14ac:dyDescent="0.35">
      <c r="A17" s="11" t="s">
        <v>98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rightToLeft="1" topLeftCell="A22" zoomScaleNormal="100" workbookViewId="0">
      <selection activeCell="B36" sqref="B36"/>
    </sheetView>
  </sheetViews>
  <sheetFormatPr defaultColWidth="8.6328125" defaultRowHeight="14.5" x14ac:dyDescent="0.35"/>
  <cols>
    <col min="1" max="1" width="6" customWidth="1"/>
    <col min="2" max="2" width="30" customWidth="1"/>
    <col min="3" max="3" width="24" customWidth="1"/>
    <col min="4" max="4" width="14" customWidth="1"/>
    <col min="5" max="5" width="20" customWidth="1"/>
    <col min="6" max="6" width="22" customWidth="1"/>
  </cols>
  <sheetData>
    <row r="1" spans="1:6" ht="27.75" customHeight="1" x14ac:dyDescent="0.35">
      <c r="A1" s="57" t="s">
        <v>146</v>
      </c>
      <c r="B1" s="57"/>
      <c r="C1" s="57"/>
      <c r="D1" s="57"/>
      <c r="E1" s="57"/>
      <c r="F1" s="57"/>
    </row>
    <row r="2" spans="1:6" ht="16.5" customHeight="1" x14ac:dyDescent="0.35">
      <c r="A2" s="5" t="s">
        <v>15</v>
      </c>
      <c r="B2" s="6"/>
      <c r="D2" s="5" t="s">
        <v>147</v>
      </c>
      <c r="E2" s="6"/>
    </row>
    <row r="3" spans="1:6" ht="16.5" customHeight="1" x14ac:dyDescent="0.35">
      <c r="A3" s="5" t="s">
        <v>148</v>
      </c>
      <c r="B3" s="6"/>
      <c r="D3" s="5" t="s">
        <v>149</v>
      </c>
      <c r="E3" s="6"/>
    </row>
    <row r="5" spans="1:6" ht="19.5" customHeight="1" x14ac:dyDescent="0.35">
      <c r="A5" s="3" t="s">
        <v>21</v>
      </c>
      <c r="B5" s="3" t="s">
        <v>150</v>
      </c>
      <c r="C5" s="3" t="s">
        <v>151</v>
      </c>
      <c r="D5" s="3" t="s">
        <v>152</v>
      </c>
      <c r="E5" s="3" t="s">
        <v>153</v>
      </c>
      <c r="F5" s="3" t="s">
        <v>154</v>
      </c>
    </row>
    <row r="6" spans="1:6" ht="18" customHeight="1" x14ac:dyDescent="0.35">
      <c r="A6" s="58" t="s">
        <v>155</v>
      </c>
      <c r="B6" s="58"/>
      <c r="C6" s="58"/>
      <c r="D6" s="58"/>
      <c r="E6" s="58"/>
      <c r="F6" s="58"/>
    </row>
    <row r="7" spans="1:6" ht="15.75" customHeight="1" x14ac:dyDescent="0.35">
      <c r="A7" s="4">
        <v>1</v>
      </c>
      <c r="B7" s="5" t="s">
        <v>156</v>
      </c>
      <c r="C7" s="17" t="s">
        <v>157</v>
      </c>
      <c r="D7" s="6" t="s">
        <v>158</v>
      </c>
      <c r="E7" s="5"/>
      <c r="F7" s="5"/>
    </row>
    <row r="8" spans="1:6" ht="15.75" customHeight="1" x14ac:dyDescent="0.35">
      <c r="A8" s="4">
        <v>2</v>
      </c>
      <c r="B8" s="5" t="s">
        <v>159</v>
      </c>
      <c r="C8" s="17" t="s">
        <v>160</v>
      </c>
      <c r="D8" s="6" t="s">
        <v>158</v>
      </c>
      <c r="E8" s="5"/>
      <c r="F8" s="5"/>
    </row>
    <row r="9" spans="1:6" ht="15.75" customHeight="1" x14ac:dyDescent="0.35">
      <c r="A9" s="4">
        <v>3</v>
      </c>
      <c r="B9" s="5" t="s">
        <v>161</v>
      </c>
      <c r="C9" s="17" t="s">
        <v>162</v>
      </c>
      <c r="D9" s="6" t="s">
        <v>158</v>
      </c>
      <c r="E9" s="5"/>
      <c r="F9" s="5"/>
    </row>
    <row r="10" spans="1:6" ht="15.75" customHeight="1" x14ac:dyDescent="0.35">
      <c r="A10" s="4">
        <v>4</v>
      </c>
      <c r="B10" s="5" t="s">
        <v>163</v>
      </c>
      <c r="C10" s="17" t="s">
        <v>164</v>
      </c>
      <c r="D10" s="6" t="s">
        <v>158</v>
      </c>
      <c r="E10" s="5"/>
      <c r="F10" s="5"/>
    </row>
    <row r="11" spans="1:6" ht="15.75" customHeight="1" x14ac:dyDescent="0.35">
      <c r="A11" s="4">
        <v>5</v>
      </c>
      <c r="B11" s="5" t="s">
        <v>165</v>
      </c>
      <c r="C11" s="17" t="s">
        <v>166</v>
      </c>
      <c r="D11" s="6" t="s">
        <v>158</v>
      </c>
      <c r="E11" s="5"/>
      <c r="F11" s="5"/>
    </row>
    <row r="13" spans="1:6" ht="18" customHeight="1" x14ac:dyDescent="0.35">
      <c r="A13" s="58" t="s">
        <v>167</v>
      </c>
      <c r="B13" s="58"/>
      <c r="C13" s="58"/>
      <c r="D13" s="58"/>
      <c r="E13" s="58"/>
      <c r="F13" s="58"/>
    </row>
    <row r="14" spans="1:6" ht="15.75" customHeight="1" x14ac:dyDescent="0.35">
      <c r="A14" s="4">
        <v>6</v>
      </c>
      <c r="B14" s="5" t="s">
        <v>168</v>
      </c>
      <c r="C14" s="17" t="s">
        <v>169</v>
      </c>
      <c r="D14" s="6" t="s">
        <v>158</v>
      </c>
      <c r="E14" s="5"/>
      <c r="F14" s="5"/>
    </row>
    <row r="15" spans="1:6" ht="15.75" customHeight="1" x14ac:dyDescent="0.35">
      <c r="A15" s="4">
        <v>7</v>
      </c>
      <c r="B15" s="5" t="s">
        <v>170</v>
      </c>
      <c r="C15" s="17" t="s">
        <v>171</v>
      </c>
      <c r="D15" s="6" t="s">
        <v>158</v>
      </c>
      <c r="E15" s="5"/>
      <c r="F15" s="5"/>
    </row>
    <row r="16" spans="1:6" ht="15.75" customHeight="1" x14ac:dyDescent="0.35">
      <c r="A16" s="4">
        <v>8</v>
      </c>
      <c r="B16" s="5" t="s">
        <v>172</v>
      </c>
      <c r="C16" s="17" t="s">
        <v>173</v>
      </c>
      <c r="D16" s="6" t="s">
        <v>158</v>
      </c>
      <c r="E16" s="5"/>
      <c r="F16" s="5"/>
    </row>
    <row r="18" spans="1:6" ht="18" customHeight="1" x14ac:dyDescent="0.35">
      <c r="A18" s="58" t="s">
        <v>174</v>
      </c>
      <c r="B18" s="58"/>
      <c r="C18" s="58"/>
      <c r="D18" s="58"/>
      <c r="E18" s="58"/>
      <c r="F18" s="58"/>
    </row>
    <row r="19" spans="1:6" ht="15.75" customHeight="1" x14ac:dyDescent="0.35">
      <c r="A19" s="4">
        <v>9</v>
      </c>
      <c r="B19" s="5" t="s">
        <v>175</v>
      </c>
      <c r="C19" s="17" t="s">
        <v>176</v>
      </c>
      <c r="D19" s="6" t="s">
        <v>158</v>
      </c>
      <c r="E19" s="5"/>
      <c r="F19" s="5"/>
    </row>
    <row r="20" spans="1:6" ht="15.75" customHeight="1" x14ac:dyDescent="0.35">
      <c r="A20" s="4">
        <v>10</v>
      </c>
      <c r="B20" s="5" t="s">
        <v>177</v>
      </c>
      <c r="C20" s="17" t="s">
        <v>178</v>
      </c>
      <c r="D20" s="6" t="s">
        <v>158</v>
      </c>
      <c r="E20" s="5"/>
      <c r="F20" s="5"/>
    </row>
    <row r="21" spans="1:6" ht="15.75" customHeight="1" x14ac:dyDescent="0.35">
      <c r="A21" s="4">
        <v>11</v>
      </c>
      <c r="B21" s="5" t="s">
        <v>179</v>
      </c>
      <c r="C21" s="17" t="s">
        <v>180</v>
      </c>
      <c r="D21" s="6" t="s">
        <v>158</v>
      </c>
      <c r="E21" s="5"/>
      <c r="F21" s="5"/>
    </row>
    <row r="23" spans="1:6" ht="18" customHeight="1" x14ac:dyDescent="0.35">
      <c r="A23" s="58" t="s">
        <v>181</v>
      </c>
      <c r="B23" s="58"/>
      <c r="C23" s="58"/>
      <c r="D23" s="58"/>
      <c r="E23" s="58"/>
      <c r="F23" s="58"/>
    </row>
    <row r="24" spans="1:6" ht="15.75" customHeight="1" x14ac:dyDescent="0.35">
      <c r="A24" s="4">
        <v>12</v>
      </c>
      <c r="B24" s="5" t="s">
        <v>182</v>
      </c>
      <c r="C24" s="17" t="s">
        <v>183</v>
      </c>
      <c r="D24" s="6" t="s">
        <v>158</v>
      </c>
      <c r="E24" s="5"/>
      <c r="F24" s="5"/>
    </row>
    <row r="25" spans="1:6" ht="15.75" customHeight="1" x14ac:dyDescent="0.35">
      <c r="A25" s="4">
        <v>13</v>
      </c>
      <c r="B25" s="5" t="s">
        <v>184</v>
      </c>
      <c r="C25" s="17" t="s">
        <v>185</v>
      </c>
      <c r="D25" s="6" t="s">
        <v>158</v>
      </c>
      <c r="E25" s="5"/>
      <c r="F25" s="5"/>
    </row>
    <row r="26" spans="1:6" ht="15.75" customHeight="1" x14ac:dyDescent="0.35">
      <c r="A26" s="4">
        <v>14</v>
      </c>
      <c r="B26" s="5" t="s">
        <v>186</v>
      </c>
      <c r="C26" s="17" t="s">
        <v>187</v>
      </c>
      <c r="D26" s="6" t="s">
        <v>158</v>
      </c>
      <c r="E26" s="5"/>
      <c r="F26" s="5"/>
    </row>
    <row r="28" spans="1:6" ht="18" customHeight="1" x14ac:dyDescent="0.35">
      <c r="A28" s="58" t="s">
        <v>188</v>
      </c>
      <c r="B28" s="58"/>
      <c r="C28" s="58"/>
      <c r="D28" s="58"/>
      <c r="E28" s="58"/>
      <c r="F28" s="58"/>
    </row>
    <row r="29" spans="1:6" ht="15.75" customHeight="1" x14ac:dyDescent="0.35">
      <c r="A29" s="4">
        <v>15</v>
      </c>
      <c r="B29" s="5" t="s">
        <v>189</v>
      </c>
      <c r="C29" s="17" t="s">
        <v>190</v>
      </c>
      <c r="D29" s="6" t="s">
        <v>158</v>
      </c>
      <c r="E29" s="5"/>
      <c r="F29" s="5"/>
    </row>
    <row r="30" spans="1:6" ht="15.75" customHeight="1" x14ac:dyDescent="0.35">
      <c r="A30" s="4">
        <v>16</v>
      </c>
      <c r="B30" s="5" t="s">
        <v>191</v>
      </c>
      <c r="C30" s="17" t="s">
        <v>192</v>
      </c>
      <c r="D30" s="6" t="s">
        <v>158</v>
      </c>
      <c r="E30" s="5"/>
      <c r="F30" s="5"/>
    </row>
    <row r="31" spans="1:6" ht="15.75" customHeight="1" x14ac:dyDescent="0.35">
      <c r="A31" s="4">
        <v>17</v>
      </c>
      <c r="B31" s="5" t="s">
        <v>193</v>
      </c>
      <c r="C31" s="17" t="s">
        <v>194</v>
      </c>
      <c r="D31" s="6" t="s">
        <v>158</v>
      </c>
      <c r="E31" s="5"/>
      <c r="F31" s="5"/>
    </row>
    <row r="33" spans="1:6" ht="21.75" customHeight="1" x14ac:dyDescent="0.35">
      <c r="A33" s="59" t="s">
        <v>195</v>
      </c>
      <c r="B33" s="59"/>
      <c r="C33" s="59"/>
      <c r="D33" s="59"/>
      <c r="E33" s="59"/>
      <c r="F33" s="59"/>
    </row>
    <row r="34" spans="1:6" ht="16.5" customHeight="1" x14ac:dyDescent="0.35">
      <c r="A34" s="5" t="s">
        <v>196</v>
      </c>
      <c r="B34" s="18">
        <f>17</f>
        <v>17</v>
      </c>
    </row>
    <row r="35" spans="1:6" ht="16.5" customHeight="1" x14ac:dyDescent="0.35">
      <c r="A35" s="5" t="s">
        <v>197</v>
      </c>
      <c r="B35" s="40">
        <f>COUNTIF(D7:D32,"✅ مطابق")</f>
        <v>17</v>
      </c>
    </row>
    <row r="36" spans="1:6" ht="16.5" customHeight="1" x14ac:dyDescent="0.35">
      <c r="A36" s="5" t="s">
        <v>198</v>
      </c>
      <c r="B36" s="40">
        <f>COUNTIF(D7:D32,"❌ غير مطابق")</f>
        <v>0</v>
      </c>
    </row>
    <row r="37" spans="1:6" ht="16.5" customHeight="1" x14ac:dyDescent="0.35">
      <c r="A37" s="5" t="s">
        <v>199</v>
      </c>
      <c r="B37" s="41">
        <f>IF(17=0,0,COUNTIF(D7:D32,"✅ مطابق")/17)</f>
        <v>1</v>
      </c>
    </row>
    <row r="39" spans="1:6" x14ac:dyDescent="0.35">
      <c r="A39" s="7" t="s">
        <v>94</v>
      </c>
    </row>
    <row r="40" spans="1:6" ht="12.75" customHeight="1" x14ac:dyDescent="0.35">
      <c r="A40" s="8" t="s">
        <v>95</v>
      </c>
    </row>
    <row r="41" spans="1:6" ht="12.75" customHeight="1" x14ac:dyDescent="0.35">
      <c r="A41" s="9" t="s">
        <v>96</v>
      </c>
    </row>
    <row r="42" spans="1:6" ht="12.75" customHeight="1" x14ac:dyDescent="0.35">
      <c r="A42" s="10" t="s">
        <v>97</v>
      </c>
    </row>
    <row r="43" spans="1:6" ht="12.75" customHeight="1" x14ac:dyDescent="0.35">
      <c r="A43" s="11" t="s">
        <v>98</v>
      </c>
    </row>
  </sheetData>
  <sheetProtection algorithmName="SHA-512" hashValue="78m6i2MTzK2FZ/A5nYstj2h8hp2/W9pOLaxGnH20BWRLMg9wj+Eps4P2rO724O5UOmKK5trEN7hkZBzbSE9T1A==" saltValue="9pyONjliRXSXo0FdSnzo9Q==" spinCount="100000" sheet="1" objects="1" scenarios="1"/>
  <mergeCells count="7">
    <mergeCell ref="A28:F28"/>
    <mergeCell ref="A33:F33"/>
    <mergeCell ref="A1:F1"/>
    <mergeCell ref="A6:F6"/>
    <mergeCell ref="A13:F13"/>
    <mergeCell ref="A18:F18"/>
    <mergeCell ref="A23:F2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rightToLeft="1" zoomScaleNormal="100" workbookViewId="0">
      <selection activeCell="E18" sqref="E18"/>
    </sheetView>
  </sheetViews>
  <sheetFormatPr defaultColWidth="8.6328125" defaultRowHeight="14.5" x14ac:dyDescent="0.35"/>
  <cols>
    <col min="1" max="1" width="26" customWidth="1"/>
    <col min="2" max="3" width="18" customWidth="1"/>
    <col min="4" max="4" width="16" customWidth="1"/>
    <col min="5" max="5" width="12" customWidth="1"/>
    <col min="6" max="6" width="16" customWidth="1"/>
    <col min="7" max="7" width="18" customWidth="1"/>
    <col min="8" max="8" width="16" customWidth="1"/>
  </cols>
  <sheetData>
    <row r="1" spans="1:8" ht="27.75" customHeight="1" x14ac:dyDescent="0.35">
      <c r="A1" s="57" t="s">
        <v>200</v>
      </c>
      <c r="B1" s="57"/>
      <c r="C1" s="57"/>
      <c r="D1" s="57"/>
      <c r="E1" s="57"/>
      <c r="F1" s="57"/>
      <c r="G1" s="57"/>
      <c r="H1" s="57"/>
    </row>
    <row r="2" spans="1:8" ht="21.75" customHeight="1" x14ac:dyDescent="0.35">
      <c r="A2" s="3" t="s">
        <v>201</v>
      </c>
      <c r="B2" s="3" t="s">
        <v>202</v>
      </c>
      <c r="C2" s="3" t="s">
        <v>203</v>
      </c>
      <c r="D2" s="3" t="s">
        <v>204</v>
      </c>
      <c r="E2" s="3" t="s">
        <v>205</v>
      </c>
      <c r="F2" s="3" t="s">
        <v>206</v>
      </c>
      <c r="G2" s="3" t="s">
        <v>207</v>
      </c>
      <c r="H2" s="3" t="s">
        <v>29</v>
      </c>
    </row>
    <row r="3" spans="1:8" ht="16.5" customHeight="1" x14ac:dyDescent="0.35">
      <c r="A3" s="5" t="s">
        <v>129</v>
      </c>
      <c r="B3" s="20">
        <v>0</v>
      </c>
      <c r="C3" s="20">
        <v>0</v>
      </c>
      <c r="D3" s="21">
        <f t="shared" ref="D3:D11" si="0">C3-B3</f>
        <v>0</v>
      </c>
      <c r="E3" s="19">
        <f t="shared" ref="E3:E12" si="1">IF(B3=0,0,(C3-B3)/B3)</f>
        <v>0</v>
      </c>
      <c r="F3" s="20">
        <v>0</v>
      </c>
      <c r="G3" s="21">
        <f t="shared" ref="G3:G11" si="2">C3+F3</f>
        <v>0</v>
      </c>
      <c r="H3" s="22" t="str">
        <f t="shared" ref="H3:H11" si="3">IF(E3&gt;0.1,"❌ تجاوز",IF(E3&gt;0,"⚠️ تحذير","✅ ضمن الميزانية"))</f>
        <v>✅ ضمن الميزانية</v>
      </c>
    </row>
    <row r="4" spans="1:8" ht="16.5" customHeight="1" x14ac:dyDescent="0.35">
      <c r="A4" s="5" t="s">
        <v>42</v>
      </c>
      <c r="B4" s="20">
        <v>0</v>
      </c>
      <c r="C4" s="20">
        <v>0</v>
      </c>
      <c r="D4" s="21">
        <f t="shared" si="0"/>
        <v>0</v>
      </c>
      <c r="E4" s="19">
        <f t="shared" si="1"/>
        <v>0</v>
      </c>
      <c r="F4" s="20">
        <v>0</v>
      </c>
      <c r="G4" s="21">
        <f t="shared" si="2"/>
        <v>0</v>
      </c>
      <c r="H4" s="22" t="str">
        <f t="shared" si="3"/>
        <v>✅ ضمن الميزانية</v>
      </c>
    </row>
    <row r="5" spans="1:8" ht="16.5" customHeight="1" x14ac:dyDescent="0.35">
      <c r="A5" s="5" t="s">
        <v>53</v>
      </c>
      <c r="B5" s="20">
        <v>0</v>
      </c>
      <c r="C5" s="20">
        <v>0</v>
      </c>
      <c r="D5" s="21">
        <f t="shared" si="0"/>
        <v>0</v>
      </c>
      <c r="E5" s="19">
        <f t="shared" si="1"/>
        <v>0</v>
      </c>
      <c r="F5" s="20">
        <v>0</v>
      </c>
      <c r="G5" s="21">
        <f t="shared" si="2"/>
        <v>0</v>
      </c>
      <c r="H5" s="22" t="str">
        <f t="shared" si="3"/>
        <v>✅ ضمن الميزانية</v>
      </c>
    </row>
    <row r="6" spans="1:8" ht="16.5" customHeight="1" x14ac:dyDescent="0.35">
      <c r="A6" s="5" t="s">
        <v>208</v>
      </c>
      <c r="B6" s="20">
        <v>0</v>
      </c>
      <c r="C6" s="20">
        <v>0</v>
      </c>
      <c r="D6" s="21">
        <f t="shared" si="0"/>
        <v>0</v>
      </c>
      <c r="E6" s="19">
        <f t="shared" si="1"/>
        <v>0</v>
      </c>
      <c r="F6" s="20">
        <v>0</v>
      </c>
      <c r="G6" s="21">
        <f t="shared" si="2"/>
        <v>0</v>
      </c>
      <c r="H6" s="22" t="str">
        <f t="shared" si="3"/>
        <v>✅ ضمن الميزانية</v>
      </c>
    </row>
    <row r="7" spans="1:8" ht="16.5" customHeight="1" x14ac:dyDescent="0.35">
      <c r="A7" s="5" t="s">
        <v>209</v>
      </c>
      <c r="B7" s="20">
        <v>0</v>
      </c>
      <c r="C7" s="20">
        <v>0</v>
      </c>
      <c r="D7" s="21">
        <f t="shared" si="0"/>
        <v>0</v>
      </c>
      <c r="E7" s="19">
        <f t="shared" si="1"/>
        <v>0</v>
      </c>
      <c r="F7" s="20">
        <v>0</v>
      </c>
      <c r="G7" s="21">
        <f t="shared" si="2"/>
        <v>0</v>
      </c>
      <c r="H7" s="22" t="str">
        <f t="shared" si="3"/>
        <v>✅ ضمن الميزانية</v>
      </c>
    </row>
    <row r="8" spans="1:8" ht="16.5" customHeight="1" x14ac:dyDescent="0.35">
      <c r="A8" s="5" t="s">
        <v>210</v>
      </c>
      <c r="B8" s="20">
        <v>0</v>
      </c>
      <c r="C8" s="20">
        <v>0</v>
      </c>
      <c r="D8" s="21">
        <f t="shared" si="0"/>
        <v>0</v>
      </c>
      <c r="E8" s="19">
        <f t="shared" si="1"/>
        <v>0</v>
      </c>
      <c r="F8" s="20">
        <v>0</v>
      </c>
      <c r="G8" s="21">
        <f t="shared" si="2"/>
        <v>0</v>
      </c>
      <c r="H8" s="22" t="str">
        <f t="shared" si="3"/>
        <v>✅ ضمن الميزانية</v>
      </c>
    </row>
    <row r="9" spans="1:8" ht="16.5" customHeight="1" x14ac:dyDescent="0.35">
      <c r="A9" s="5" t="s">
        <v>211</v>
      </c>
      <c r="B9" s="20">
        <v>0</v>
      </c>
      <c r="C9" s="20">
        <v>0</v>
      </c>
      <c r="D9" s="21">
        <f t="shared" si="0"/>
        <v>0</v>
      </c>
      <c r="E9" s="19">
        <f t="shared" si="1"/>
        <v>0</v>
      </c>
      <c r="F9" s="20">
        <v>0</v>
      </c>
      <c r="G9" s="21">
        <f t="shared" si="2"/>
        <v>0</v>
      </c>
      <c r="H9" s="22" t="str">
        <f t="shared" si="3"/>
        <v>✅ ضمن الميزانية</v>
      </c>
    </row>
    <row r="10" spans="1:8" ht="16.5" customHeight="1" x14ac:dyDescent="0.35">
      <c r="A10" s="5" t="s">
        <v>212</v>
      </c>
      <c r="B10" s="20">
        <v>0</v>
      </c>
      <c r="C10" s="20">
        <v>0</v>
      </c>
      <c r="D10" s="21">
        <f t="shared" si="0"/>
        <v>0</v>
      </c>
      <c r="E10" s="19">
        <f t="shared" si="1"/>
        <v>0</v>
      </c>
      <c r="F10" s="20">
        <v>0</v>
      </c>
      <c r="G10" s="21">
        <f t="shared" si="2"/>
        <v>0</v>
      </c>
      <c r="H10" s="22" t="str">
        <f t="shared" si="3"/>
        <v>✅ ضمن الميزانية</v>
      </c>
    </row>
    <row r="11" spans="1:8" ht="16.5" customHeight="1" x14ac:dyDescent="0.35">
      <c r="A11" s="5" t="s">
        <v>213</v>
      </c>
      <c r="B11" s="20">
        <v>0</v>
      </c>
      <c r="C11" s="20">
        <v>0</v>
      </c>
      <c r="D11" s="21">
        <f t="shared" si="0"/>
        <v>0</v>
      </c>
      <c r="E11" s="19">
        <f t="shared" si="1"/>
        <v>0</v>
      </c>
      <c r="F11" s="20">
        <v>0</v>
      </c>
      <c r="G11" s="21">
        <f t="shared" si="2"/>
        <v>0</v>
      </c>
      <c r="H11" s="22" t="str">
        <f t="shared" si="3"/>
        <v>✅ ضمن الميزانية</v>
      </c>
    </row>
    <row r="12" spans="1:8" ht="19.5" customHeight="1" x14ac:dyDescent="0.35">
      <c r="A12" s="23" t="s">
        <v>214</v>
      </c>
      <c r="B12" s="39">
        <f>SUM(B3:B11)</f>
        <v>0</v>
      </c>
      <c r="C12" s="39">
        <f>SUM(C3:C11)</f>
        <v>0</v>
      </c>
      <c r="D12" s="39">
        <f>SUM(D3:D11)</f>
        <v>0</v>
      </c>
      <c r="E12" s="42">
        <f t="shared" si="1"/>
        <v>0</v>
      </c>
      <c r="F12" s="39">
        <f>SUM(F3:F11)</f>
        <v>0</v>
      </c>
      <c r="G12" s="39">
        <f>SUM(G3:G11)</f>
        <v>0</v>
      </c>
    </row>
    <row r="14" spans="1:8" ht="21.75" customHeight="1" x14ac:dyDescent="0.35">
      <c r="A14" s="60" t="s">
        <v>215</v>
      </c>
      <c r="B14" s="60"/>
      <c r="C14" s="60"/>
      <c r="D14" s="60"/>
      <c r="E14" s="60"/>
      <c r="F14" s="60"/>
      <c r="G14" s="60"/>
      <c r="H14" s="60"/>
    </row>
    <row r="15" spans="1:8" ht="16.5" customHeight="1" x14ac:dyDescent="0.35">
      <c r="A15" s="5" t="s">
        <v>216</v>
      </c>
      <c r="B15" s="38">
        <f>IF(C13=0,0,B13/C13)</f>
        <v>0</v>
      </c>
      <c r="C15" s="17" t="s">
        <v>217</v>
      </c>
    </row>
    <row r="16" spans="1:8" ht="16.5" customHeight="1" x14ac:dyDescent="0.35">
      <c r="A16" s="5" t="s">
        <v>218</v>
      </c>
      <c r="B16" s="38">
        <f>IF(B13=0,0,(C13-B13)/B13)</f>
        <v>0</v>
      </c>
      <c r="C16" s="17" t="s">
        <v>219</v>
      </c>
    </row>
    <row r="17" spans="1:3" ht="16.5" customHeight="1" x14ac:dyDescent="0.35">
      <c r="A17" s="5" t="s">
        <v>220</v>
      </c>
      <c r="B17" s="38">
        <f>SUM(F3:F12)</f>
        <v>0</v>
      </c>
      <c r="C17" s="17" t="s">
        <v>221</v>
      </c>
    </row>
    <row r="19" spans="1:3" x14ac:dyDescent="0.35">
      <c r="A19" s="7" t="s">
        <v>94</v>
      </c>
    </row>
    <row r="20" spans="1:3" ht="12.75" customHeight="1" x14ac:dyDescent="0.35">
      <c r="A20" s="8" t="s">
        <v>95</v>
      </c>
    </row>
    <row r="21" spans="1:3" ht="12.75" customHeight="1" x14ac:dyDescent="0.35">
      <c r="A21" s="9" t="s">
        <v>96</v>
      </c>
    </row>
    <row r="22" spans="1:3" ht="12.75" customHeight="1" x14ac:dyDescent="0.35">
      <c r="A22" s="10" t="s">
        <v>97</v>
      </c>
    </row>
    <row r="23" spans="1:3" ht="12.75" customHeight="1" x14ac:dyDescent="0.35">
      <c r="A23" s="11" t="s">
        <v>98</v>
      </c>
    </row>
  </sheetData>
  <sheetProtection algorithmName="SHA-512" hashValue="m5AngIsJB9XmAiZIgEtJKg6bujfZjvInujFr68wTiV3BZ0mQCU0mxYbXcW7D1kjpl6q03Brc/tH2ui99iNjjwQ==" saltValue="842MeJCLAkp8IZSg4lq4FA==" spinCount="100000" sheet="1" objects="1" scenarios="1"/>
  <mergeCells count="2">
    <mergeCell ref="A1:H1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rightToLeft="1" zoomScaleNormal="100" workbookViewId="0">
      <selection activeCell="A14" sqref="A14:H14"/>
    </sheetView>
  </sheetViews>
  <sheetFormatPr defaultColWidth="8.6328125" defaultRowHeight="14.5" x14ac:dyDescent="0.35"/>
  <cols>
    <col min="1" max="1" width="6" customWidth="1"/>
    <col min="2" max="2" width="28" customWidth="1"/>
    <col min="3" max="4" width="14" customWidth="1"/>
    <col min="5" max="5" width="12" customWidth="1"/>
    <col min="6" max="6" width="14" customWidth="1"/>
    <col min="7" max="7" width="26" customWidth="1"/>
    <col min="8" max="8" width="14" customWidth="1"/>
  </cols>
  <sheetData>
    <row r="1" spans="1:8" ht="27.75" customHeight="1" x14ac:dyDescent="0.35">
      <c r="A1" s="57" t="s">
        <v>222</v>
      </c>
      <c r="B1" s="57"/>
      <c r="C1" s="57"/>
      <c r="D1" s="57"/>
      <c r="E1" s="57"/>
      <c r="F1" s="57"/>
      <c r="G1" s="57"/>
      <c r="H1" s="57"/>
    </row>
    <row r="2" spans="1:8" ht="19.5" customHeight="1" x14ac:dyDescent="0.35">
      <c r="A2" s="3" t="s">
        <v>21</v>
      </c>
      <c r="B2" s="3" t="s">
        <v>223</v>
      </c>
      <c r="C2" s="3" t="s">
        <v>224</v>
      </c>
      <c r="D2" s="3" t="s">
        <v>225</v>
      </c>
      <c r="E2" s="3" t="s">
        <v>226</v>
      </c>
      <c r="F2" s="3" t="s">
        <v>227</v>
      </c>
      <c r="G2" s="3" t="s">
        <v>228</v>
      </c>
      <c r="H2" s="3" t="s">
        <v>101</v>
      </c>
    </row>
    <row r="3" spans="1:8" ht="18" customHeight="1" x14ac:dyDescent="0.35">
      <c r="A3" s="4">
        <v>1</v>
      </c>
      <c r="B3" s="5" t="s">
        <v>229</v>
      </c>
      <c r="C3" s="24" t="s">
        <v>230</v>
      </c>
      <c r="D3" s="25">
        <v>3</v>
      </c>
      <c r="E3" s="25">
        <v>3</v>
      </c>
      <c r="F3" s="43">
        <f t="shared" ref="F3:F12" si="0">D3*E3</f>
        <v>9</v>
      </c>
      <c r="G3" s="5" t="s">
        <v>231</v>
      </c>
      <c r="H3" s="6" t="s">
        <v>232</v>
      </c>
    </row>
    <row r="4" spans="1:8" ht="18" customHeight="1" x14ac:dyDescent="0.35">
      <c r="A4" s="4">
        <v>2</v>
      </c>
      <c r="B4" s="5" t="s">
        <v>233</v>
      </c>
      <c r="C4" s="24" t="s">
        <v>234</v>
      </c>
      <c r="D4" s="25">
        <v>3</v>
      </c>
      <c r="E4" s="25">
        <v>4</v>
      </c>
      <c r="F4" s="44">
        <f t="shared" si="0"/>
        <v>12</v>
      </c>
      <c r="G4" s="5" t="s">
        <v>235</v>
      </c>
      <c r="H4" s="6" t="s">
        <v>232</v>
      </c>
    </row>
    <row r="5" spans="1:8" ht="18" customHeight="1" x14ac:dyDescent="0.35">
      <c r="A5" s="4">
        <v>3</v>
      </c>
      <c r="B5" s="5" t="s">
        <v>236</v>
      </c>
      <c r="C5" s="24" t="s">
        <v>237</v>
      </c>
      <c r="D5" s="25">
        <v>2</v>
      </c>
      <c r="E5" s="25">
        <v>4</v>
      </c>
      <c r="F5" s="43">
        <f t="shared" si="0"/>
        <v>8</v>
      </c>
      <c r="G5" s="5" t="s">
        <v>238</v>
      </c>
      <c r="H5" s="6" t="s">
        <v>232</v>
      </c>
    </row>
    <row r="6" spans="1:8" ht="18" customHeight="1" x14ac:dyDescent="0.35">
      <c r="A6" s="4">
        <v>4</v>
      </c>
      <c r="B6" s="5" t="s">
        <v>239</v>
      </c>
      <c r="C6" s="24" t="s">
        <v>240</v>
      </c>
      <c r="D6" s="25">
        <v>2</v>
      </c>
      <c r="E6" s="25">
        <v>2</v>
      </c>
      <c r="F6" s="45">
        <f t="shared" si="0"/>
        <v>4</v>
      </c>
      <c r="G6" s="5" t="s">
        <v>241</v>
      </c>
      <c r="H6" s="6" t="s">
        <v>232</v>
      </c>
    </row>
    <row r="7" spans="1:8" ht="18" customHeight="1" x14ac:dyDescent="0.35">
      <c r="A7" s="4">
        <v>5</v>
      </c>
      <c r="B7" s="5" t="s">
        <v>242</v>
      </c>
      <c r="C7" s="24" t="s">
        <v>243</v>
      </c>
      <c r="D7" s="25">
        <v>2</v>
      </c>
      <c r="E7" s="25">
        <v>3</v>
      </c>
      <c r="F7" s="43">
        <f t="shared" si="0"/>
        <v>6</v>
      </c>
      <c r="G7" s="5" t="s">
        <v>244</v>
      </c>
      <c r="H7" s="6" t="s">
        <v>232</v>
      </c>
    </row>
    <row r="8" spans="1:8" ht="18" customHeight="1" x14ac:dyDescent="0.35">
      <c r="A8" s="4">
        <v>6</v>
      </c>
      <c r="B8" s="5" t="s">
        <v>245</v>
      </c>
      <c r="C8" s="24" t="s">
        <v>246</v>
      </c>
      <c r="D8" s="25">
        <v>2</v>
      </c>
      <c r="E8" s="25">
        <v>4</v>
      </c>
      <c r="F8" s="43">
        <f t="shared" si="0"/>
        <v>8</v>
      </c>
      <c r="G8" s="5" t="s">
        <v>247</v>
      </c>
      <c r="H8" s="6" t="s">
        <v>232</v>
      </c>
    </row>
    <row r="9" spans="1:8" ht="18" customHeight="1" x14ac:dyDescent="0.35">
      <c r="A9" s="4">
        <v>7</v>
      </c>
      <c r="B9" s="5" t="s">
        <v>248</v>
      </c>
      <c r="C9" s="24" t="s">
        <v>249</v>
      </c>
      <c r="D9" s="25">
        <v>2</v>
      </c>
      <c r="E9" s="25">
        <v>5</v>
      </c>
      <c r="F9" s="43">
        <f t="shared" si="0"/>
        <v>10</v>
      </c>
      <c r="G9" s="5" t="s">
        <v>250</v>
      </c>
      <c r="H9" s="6" t="s">
        <v>232</v>
      </c>
    </row>
    <row r="10" spans="1:8" ht="18" customHeight="1" x14ac:dyDescent="0.35">
      <c r="A10" s="4">
        <v>8</v>
      </c>
      <c r="B10" s="5" t="s">
        <v>251</v>
      </c>
      <c r="C10" s="24" t="s">
        <v>252</v>
      </c>
      <c r="D10" s="25">
        <v>3</v>
      </c>
      <c r="E10" s="25">
        <v>3</v>
      </c>
      <c r="F10" s="43">
        <f t="shared" si="0"/>
        <v>9</v>
      </c>
      <c r="G10" s="5" t="s">
        <v>253</v>
      </c>
      <c r="H10" s="6" t="s">
        <v>232</v>
      </c>
    </row>
    <row r="11" spans="1:8" ht="18" customHeight="1" x14ac:dyDescent="0.35">
      <c r="A11" s="4">
        <v>9</v>
      </c>
      <c r="B11" s="5" t="s">
        <v>254</v>
      </c>
      <c r="C11" s="24" t="s">
        <v>255</v>
      </c>
      <c r="D11" s="25">
        <v>1</v>
      </c>
      <c r="E11" s="25">
        <v>5</v>
      </c>
      <c r="F11" s="45">
        <f t="shared" si="0"/>
        <v>5</v>
      </c>
      <c r="G11" s="5" t="s">
        <v>256</v>
      </c>
      <c r="H11" s="6" t="s">
        <v>232</v>
      </c>
    </row>
    <row r="12" spans="1:8" ht="18" customHeight="1" x14ac:dyDescent="0.35">
      <c r="A12" s="4">
        <v>10</v>
      </c>
      <c r="B12" s="5" t="s">
        <v>257</v>
      </c>
      <c r="C12" s="24" t="s">
        <v>258</v>
      </c>
      <c r="D12" s="25">
        <v>3</v>
      </c>
      <c r="E12" s="25">
        <v>3</v>
      </c>
      <c r="F12" s="43">
        <f t="shared" si="0"/>
        <v>9</v>
      </c>
      <c r="G12" s="5" t="s">
        <v>259</v>
      </c>
      <c r="H12" s="6" t="s">
        <v>232</v>
      </c>
    </row>
    <row r="14" spans="1:8" ht="15.75" customHeight="1" x14ac:dyDescent="0.35">
      <c r="A14" s="61" t="s">
        <v>260</v>
      </c>
      <c r="B14" s="61"/>
      <c r="C14" s="61"/>
      <c r="D14" s="61"/>
      <c r="E14" s="61"/>
      <c r="F14" s="61"/>
      <c r="G14" s="61"/>
      <c r="H14" s="61"/>
    </row>
    <row r="16" spans="1:8" x14ac:dyDescent="0.35">
      <c r="A16" s="7" t="s">
        <v>94</v>
      </c>
    </row>
    <row r="17" spans="1:1" ht="12.75" customHeight="1" x14ac:dyDescent="0.35">
      <c r="A17" s="8" t="s">
        <v>95</v>
      </c>
    </row>
    <row r="18" spans="1:1" ht="12.75" customHeight="1" x14ac:dyDescent="0.35">
      <c r="A18" s="9" t="s">
        <v>96</v>
      </c>
    </row>
    <row r="19" spans="1:1" ht="12.75" customHeight="1" x14ac:dyDescent="0.35">
      <c r="A19" s="10" t="s">
        <v>97</v>
      </c>
    </row>
    <row r="20" spans="1:1" ht="12.75" customHeight="1" x14ac:dyDescent="0.35">
      <c r="A20" s="11" t="s">
        <v>98</v>
      </c>
    </row>
  </sheetData>
  <sheetProtection algorithmName="SHA-512" hashValue="fTQfgtx98RhNQswxV7PAf2dcv/xrNZaeY2ouV2lZoIfG3oByypmwryrih0b0K+cxeynhIIYK0Svk3IfhGOVwPQ==" saltValue="fYZVp9+99wZMpZtQZ/x+DQ==" spinCount="100000" sheet="1" objects="1" scenarios="1"/>
  <mergeCells count="2">
    <mergeCell ref="A1:H1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1"/>
  <sheetViews>
    <sheetView rightToLeft="1" tabSelected="1" zoomScaleNormal="100" workbookViewId="0">
      <selection activeCell="A14" sqref="A14:F16"/>
    </sheetView>
  </sheetViews>
  <sheetFormatPr defaultColWidth="8.6328125" defaultRowHeight="14.5" x14ac:dyDescent="0.35"/>
  <cols>
    <col min="1" max="1" width="30" customWidth="1"/>
    <col min="2" max="6" width="14" customWidth="1"/>
  </cols>
  <sheetData>
    <row r="1" spans="1:6" ht="30" customHeight="1" x14ac:dyDescent="0.35">
      <c r="A1" s="64" t="s">
        <v>261</v>
      </c>
      <c r="B1" s="64"/>
      <c r="C1" s="64"/>
      <c r="D1" s="64"/>
      <c r="E1" s="64"/>
      <c r="F1" s="64"/>
    </row>
    <row r="2" spans="1:6" ht="16.5" customHeight="1" x14ac:dyDescent="0.35">
      <c r="A2" s="2" t="s">
        <v>15</v>
      </c>
      <c r="B2" s="63"/>
      <c r="C2" s="63"/>
      <c r="D2" s="63"/>
      <c r="E2" s="63"/>
      <c r="F2" s="63"/>
    </row>
    <row r="3" spans="1:6" ht="16.5" customHeight="1" x14ac:dyDescent="0.35">
      <c r="A3" s="2" t="s">
        <v>262</v>
      </c>
      <c r="B3" s="63"/>
      <c r="C3" s="63"/>
      <c r="D3" s="63"/>
      <c r="E3" s="63"/>
      <c r="F3" s="63"/>
    </row>
    <row r="4" spans="1:6" ht="16.5" customHeight="1" x14ac:dyDescent="0.35">
      <c r="A4" s="2" t="s">
        <v>263</v>
      </c>
      <c r="B4" s="63"/>
      <c r="C4" s="63"/>
      <c r="D4" s="63"/>
      <c r="E4" s="63"/>
      <c r="F4" s="63"/>
    </row>
    <row r="5" spans="1:6" ht="16.5" customHeight="1" x14ac:dyDescent="0.35">
      <c r="A5" s="2" t="s">
        <v>264</v>
      </c>
      <c r="B5" s="63"/>
      <c r="C5" s="63"/>
      <c r="D5" s="63"/>
      <c r="E5" s="63"/>
      <c r="F5" s="63"/>
    </row>
    <row r="6" spans="1:6" ht="16.5" customHeight="1" x14ac:dyDescent="0.35">
      <c r="A6" s="2" t="s">
        <v>265</v>
      </c>
      <c r="B6" s="63"/>
      <c r="C6" s="63"/>
      <c r="D6" s="63"/>
      <c r="E6" s="63"/>
      <c r="F6" s="63"/>
    </row>
    <row r="8" spans="1:6" ht="21.75" customHeight="1" x14ac:dyDescent="0.35">
      <c r="A8" s="60" t="s">
        <v>266</v>
      </c>
      <c r="B8" s="60"/>
      <c r="C8" s="60"/>
      <c r="D8" s="60"/>
      <c r="E8" s="60"/>
      <c r="F8" s="60"/>
    </row>
    <row r="9" spans="1:6" ht="18" customHeight="1" x14ac:dyDescent="0.35">
      <c r="A9" s="62" t="s">
        <v>267</v>
      </c>
      <c r="B9" s="62"/>
      <c r="C9" s="62"/>
      <c r="D9" s="62"/>
      <c r="E9" s="62"/>
      <c r="F9" s="62"/>
    </row>
    <row r="10" spans="1:6" ht="18" customHeight="1" x14ac:dyDescent="0.35">
      <c r="A10" s="62"/>
      <c r="B10" s="62"/>
      <c r="C10" s="62"/>
      <c r="D10" s="62"/>
      <c r="E10" s="62"/>
      <c r="F10" s="62"/>
    </row>
    <row r="11" spans="1:6" ht="18" customHeight="1" x14ac:dyDescent="0.35">
      <c r="A11" s="62"/>
      <c r="B11" s="62"/>
      <c r="C11" s="62"/>
      <c r="D11" s="62"/>
      <c r="E11" s="62"/>
      <c r="F11" s="62"/>
    </row>
    <row r="13" spans="1:6" ht="21.75" customHeight="1" x14ac:dyDescent="0.35">
      <c r="A13" s="60" t="s">
        <v>268</v>
      </c>
      <c r="B13" s="60"/>
      <c r="C13" s="60"/>
      <c r="D13" s="60"/>
      <c r="E13" s="60"/>
      <c r="F13" s="60"/>
    </row>
    <row r="14" spans="1:6" ht="18" customHeight="1" x14ac:dyDescent="0.35">
      <c r="A14" s="62" t="s">
        <v>269</v>
      </c>
      <c r="B14" s="62"/>
      <c r="C14" s="62"/>
      <c r="D14" s="62"/>
      <c r="E14" s="62"/>
      <c r="F14" s="62"/>
    </row>
    <row r="15" spans="1:6" ht="18" customHeight="1" x14ac:dyDescent="0.35">
      <c r="A15" s="62"/>
      <c r="B15" s="62"/>
      <c r="C15" s="62"/>
      <c r="D15" s="62"/>
      <c r="E15" s="62"/>
      <c r="F15" s="62"/>
    </row>
    <row r="16" spans="1:6" ht="18" customHeight="1" x14ac:dyDescent="0.35">
      <c r="A16" s="62"/>
      <c r="B16" s="62"/>
      <c r="C16" s="62"/>
      <c r="D16" s="62"/>
      <c r="E16" s="62"/>
      <c r="F16" s="62"/>
    </row>
    <row r="18" spans="1:6" ht="21.75" customHeight="1" x14ac:dyDescent="0.35">
      <c r="A18" s="60" t="s">
        <v>270</v>
      </c>
      <c r="B18" s="60"/>
      <c r="C18" s="60"/>
      <c r="D18" s="60"/>
      <c r="E18" s="60"/>
      <c r="F18" s="60"/>
    </row>
    <row r="19" spans="1:6" ht="18" customHeight="1" x14ac:dyDescent="0.35">
      <c r="A19" s="62" t="s">
        <v>271</v>
      </c>
      <c r="B19" s="62"/>
      <c r="C19" s="62"/>
      <c r="D19" s="62"/>
      <c r="E19" s="62"/>
      <c r="F19" s="62"/>
    </row>
    <row r="20" spans="1:6" ht="18" customHeight="1" x14ac:dyDescent="0.35">
      <c r="A20" s="62"/>
      <c r="B20" s="62"/>
      <c r="C20" s="62"/>
      <c r="D20" s="62"/>
      <c r="E20" s="62"/>
      <c r="F20" s="62"/>
    </row>
    <row r="21" spans="1:6" ht="18" customHeight="1" x14ac:dyDescent="0.35">
      <c r="A21" s="62"/>
      <c r="B21" s="62"/>
      <c r="C21" s="62"/>
      <c r="D21" s="62"/>
      <c r="E21" s="62"/>
      <c r="F21" s="62"/>
    </row>
    <row r="23" spans="1:6" ht="21.75" customHeight="1" x14ac:dyDescent="0.35">
      <c r="A23" s="60" t="s">
        <v>272</v>
      </c>
      <c r="B23" s="60"/>
      <c r="C23" s="60"/>
      <c r="D23" s="60"/>
      <c r="E23" s="60"/>
      <c r="F23" s="60"/>
    </row>
    <row r="24" spans="1:6" ht="18" customHeight="1" x14ac:dyDescent="0.35">
      <c r="A24" s="62" t="s">
        <v>273</v>
      </c>
      <c r="B24" s="62"/>
      <c r="C24" s="62"/>
      <c r="D24" s="62"/>
      <c r="E24" s="62"/>
      <c r="F24" s="62"/>
    </row>
    <row r="25" spans="1:6" ht="18" customHeight="1" x14ac:dyDescent="0.35">
      <c r="A25" s="62"/>
      <c r="B25" s="62"/>
      <c r="C25" s="62"/>
      <c r="D25" s="62"/>
      <c r="E25" s="62"/>
      <c r="F25" s="62"/>
    </row>
    <row r="26" spans="1:6" ht="18" customHeight="1" x14ac:dyDescent="0.35">
      <c r="A26" s="62"/>
      <c r="B26" s="62"/>
      <c r="C26" s="62"/>
      <c r="D26" s="62"/>
      <c r="E26" s="62"/>
      <c r="F26" s="62"/>
    </row>
    <row r="28" spans="1:6" ht="21.75" customHeight="1" x14ac:dyDescent="0.35">
      <c r="A28" s="60" t="s">
        <v>274</v>
      </c>
      <c r="B28" s="60"/>
      <c r="C28" s="60"/>
      <c r="D28" s="60"/>
      <c r="E28" s="60"/>
      <c r="F28" s="60"/>
    </row>
    <row r="29" spans="1:6" ht="18" customHeight="1" x14ac:dyDescent="0.35">
      <c r="A29" s="62" t="s">
        <v>275</v>
      </c>
      <c r="B29" s="62"/>
      <c r="C29" s="62"/>
      <c r="D29" s="62"/>
      <c r="E29" s="62"/>
      <c r="F29" s="62"/>
    </row>
    <row r="30" spans="1:6" ht="18" customHeight="1" x14ac:dyDescent="0.35">
      <c r="A30" s="62"/>
      <c r="B30" s="62"/>
      <c r="C30" s="62"/>
      <c r="D30" s="62"/>
      <c r="E30" s="62"/>
      <c r="F30" s="62"/>
    </row>
    <row r="31" spans="1:6" ht="18" customHeight="1" x14ac:dyDescent="0.35">
      <c r="A31" s="62"/>
      <c r="B31" s="62"/>
      <c r="C31" s="62"/>
      <c r="D31" s="62"/>
      <c r="E31" s="62"/>
      <c r="F31" s="62"/>
    </row>
    <row r="33" spans="1:6" ht="21.75" customHeight="1" x14ac:dyDescent="0.35">
      <c r="A33" s="60" t="s">
        <v>276</v>
      </c>
      <c r="B33" s="60"/>
      <c r="C33" s="60"/>
      <c r="D33" s="60"/>
      <c r="E33" s="60"/>
      <c r="F33" s="60"/>
    </row>
    <row r="34" spans="1:6" ht="18" customHeight="1" x14ac:dyDescent="0.35">
      <c r="A34" s="62" t="s">
        <v>277</v>
      </c>
      <c r="B34" s="62"/>
      <c r="C34" s="62"/>
      <c r="D34" s="62"/>
      <c r="E34" s="62"/>
      <c r="F34" s="62"/>
    </row>
    <row r="35" spans="1:6" ht="18" customHeight="1" x14ac:dyDescent="0.35">
      <c r="A35" s="62"/>
      <c r="B35" s="62"/>
      <c r="C35" s="62"/>
      <c r="D35" s="62"/>
      <c r="E35" s="62"/>
      <c r="F35" s="62"/>
    </row>
    <row r="36" spans="1:6" ht="18" customHeight="1" x14ac:dyDescent="0.35">
      <c r="A36" s="62"/>
      <c r="B36" s="62"/>
      <c r="C36" s="62"/>
      <c r="D36" s="62"/>
      <c r="E36" s="62"/>
      <c r="F36" s="62"/>
    </row>
    <row r="38" spans="1:6" ht="21.75" customHeight="1" x14ac:dyDescent="0.35">
      <c r="A38" s="60" t="s">
        <v>278</v>
      </c>
      <c r="B38" s="60"/>
      <c r="C38" s="60"/>
      <c r="D38" s="60"/>
      <c r="E38" s="60"/>
      <c r="F38" s="60"/>
    </row>
    <row r="39" spans="1:6" ht="18" customHeight="1" x14ac:dyDescent="0.35">
      <c r="A39" s="62" t="s">
        <v>279</v>
      </c>
      <c r="B39" s="62"/>
      <c r="C39" s="62"/>
      <c r="D39" s="62"/>
      <c r="E39" s="62"/>
      <c r="F39" s="62"/>
    </row>
    <row r="40" spans="1:6" ht="18" customHeight="1" x14ac:dyDescent="0.35">
      <c r="A40" s="62"/>
      <c r="B40" s="62"/>
      <c r="C40" s="62"/>
      <c r="D40" s="62"/>
      <c r="E40" s="62"/>
      <c r="F40" s="62"/>
    </row>
    <row r="41" spans="1:6" ht="18" customHeight="1" x14ac:dyDescent="0.35">
      <c r="A41" s="62"/>
      <c r="B41" s="62"/>
      <c r="C41" s="62"/>
      <c r="D41" s="62"/>
      <c r="E41" s="62"/>
      <c r="F41" s="62"/>
    </row>
  </sheetData>
  <mergeCells count="20">
    <mergeCell ref="A1:F1"/>
    <mergeCell ref="B2:F2"/>
    <mergeCell ref="B3:F3"/>
    <mergeCell ref="B4:F4"/>
    <mergeCell ref="B5:F5"/>
    <mergeCell ref="B6:F6"/>
    <mergeCell ref="A8:F8"/>
    <mergeCell ref="A9:F11"/>
    <mergeCell ref="A13:F13"/>
    <mergeCell ref="A14:F16"/>
    <mergeCell ref="A18:F18"/>
    <mergeCell ref="A19:F21"/>
    <mergeCell ref="A23:F23"/>
    <mergeCell ref="A24:F26"/>
    <mergeCell ref="A28:F28"/>
    <mergeCell ref="A29:F31"/>
    <mergeCell ref="A33:F33"/>
    <mergeCell ref="A34:F36"/>
    <mergeCell ref="A38:F38"/>
    <mergeCell ref="A39:F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الغلاف</vt:lpstr>
      <vt:lpstr>جدول الكميات BOQ</vt:lpstr>
      <vt:lpstr>مخطط جانت</vt:lpstr>
      <vt:lpstr>قائمة فحص الجودة</vt:lpstr>
      <vt:lpstr>ضبط تكاليف المشروع</vt:lpstr>
      <vt:lpstr>سجل المخاطر</vt:lpstr>
      <vt:lpstr>تقرير التقدم الشهري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0</cp:revision>
  <dcterms:created xsi:type="dcterms:W3CDTF">2026-06-08T23:06:01Z</dcterms:created>
  <dcterms:modified xsi:type="dcterms:W3CDTF">2026-06-11T17:49:10Z</dcterms:modified>
  <dc:language>en-US</dc:language>
</cp:coreProperties>
</file>