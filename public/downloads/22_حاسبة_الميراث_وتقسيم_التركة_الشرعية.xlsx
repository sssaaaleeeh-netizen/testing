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bdul\Downloads\"/>
    </mc:Choice>
  </mc:AlternateContent>
  <xr:revisionPtr revIDLastSave="0" documentId="13_ncr:1_{32F5E79C-ACE7-4A0E-BEAC-3CA1CD047810}" xr6:coauthVersionLast="47" xr6:coauthVersionMax="47" xr10:uidLastSave="{00000000-0000-0000-0000-000000000000}"/>
  <bookViews>
    <workbookView xWindow="-110" yWindow="-110" windowWidth="19420" windowHeight="10300" tabRatio="500" activeTab="4" xr2:uid="{00000000-000D-0000-FFFF-FFFF00000000}"/>
  </bookViews>
  <sheets>
    <sheet name="الغلاف" sheetId="1" r:id="rId1"/>
    <sheet name="صافي التركة" sheetId="2" r:id="rId2"/>
    <sheet name="الورثة والأنصبة" sheetId="3" r:id="rId3"/>
    <sheet name="التقسيم" sheetId="4" r:id="rId4"/>
    <sheet name="دليل الفرائض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6" i="4" l="1"/>
  <c r="D16" i="4"/>
  <c r="B16" i="4"/>
  <c r="C16" i="4" s="1"/>
  <c r="F15" i="4"/>
  <c r="D15" i="4"/>
  <c r="C15" i="4"/>
  <c r="B15" i="4"/>
  <c r="D14" i="4"/>
  <c r="C14" i="4"/>
  <c r="B14" i="4"/>
  <c r="F14" i="4" s="1"/>
  <c r="F13" i="4"/>
  <c r="D13" i="4"/>
  <c r="B13" i="4"/>
  <c r="C13" i="4" s="1"/>
  <c r="B12" i="4"/>
  <c r="D12" i="4" s="1"/>
  <c r="B11" i="4"/>
  <c r="F11" i="4" s="1"/>
  <c r="F10" i="4"/>
  <c r="D10" i="4"/>
  <c r="C10" i="4"/>
  <c r="B10" i="4"/>
  <c r="B9" i="4"/>
  <c r="C9" i="4" s="1"/>
  <c r="F8" i="4"/>
  <c r="B8" i="4"/>
  <c r="D8" i="4" s="1"/>
  <c r="B7" i="4"/>
  <c r="D7" i="4" s="1"/>
  <c r="B19" i="2"/>
  <c r="B12" i="2"/>
  <c r="B18" i="2" s="1"/>
  <c r="F7" i="4" l="1"/>
  <c r="D9" i="4"/>
  <c r="F12" i="4"/>
  <c r="C8" i="4"/>
  <c r="F9" i="4"/>
  <c r="D11" i="4"/>
  <c r="B22" i="2"/>
  <c r="B4" i="3" s="1"/>
  <c r="B4" i="4" s="1"/>
  <c r="C11" i="4"/>
  <c r="C12" i="4"/>
  <c r="C7" i="4"/>
  <c r="E15" i="4" l="1"/>
  <c r="E7" i="4"/>
  <c r="E10" i="4"/>
  <c r="E16" i="4"/>
  <c r="E8" i="4"/>
  <c r="E11" i="4"/>
  <c r="E14" i="4"/>
  <c r="E9" i="4"/>
  <c r="E12" i="4"/>
  <c r="E13" i="4"/>
  <c r="E17" i="4" l="1"/>
  <c r="E18" i="4" s="1"/>
</calcChain>
</file>

<file path=xl/sharedStrings.xml><?xml version="1.0" encoding="utf-8"?>
<sst xmlns="http://schemas.openxmlformats.org/spreadsheetml/2006/main" count="131" uniqueCount="107">
  <si>
    <t>حاسبة الميراث وتقسيم التركة الشرعية</t>
  </si>
  <si>
    <t>وزّع التركة وفق أحكام الفرائض الإسلامية – بدقة ووضوح</t>
  </si>
  <si>
    <t>📜 صافي التركة</t>
  </si>
  <si>
    <t>👨‍👩‍👧‍👦 أصحاب الفروض</t>
  </si>
  <si>
    <t>⚖️ التعصيب</t>
  </si>
  <si>
    <t>بعد الديون والوصية</t>
  </si>
  <si>
    <t>الأنصبة الثابتة</t>
  </si>
  <si>
    <t>ما بقي من التركة</t>
  </si>
  <si>
    <t>🧮 التقسيم</t>
  </si>
  <si>
    <t>📊 المخطط البياني</t>
  </si>
  <si>
    <t>📖 دليل الفرائض</t>
  </si>
  <si>
    <t>نصيب كل وارث</t>
  </si>
  <si>
    <t>توزيع مرئي</t>
  </si>
  <si>
    <t>مرجع شرعي</t>
  </si>
  <si>
    <t>حساب صافي التركة القابلة للتوزيع</t>
  </si>
  <si>
    <t>⚠️ هذه أداة استرشادية – التقسيم النهائي يجب أن يُعتمد من محكمة أو عالم مختص بالفرائض</t>
  </si>
  <si>
    <t>أولاً: إجمالي أصول المتوفى</t>
  </si>
  <si>
    <t>النقد والودائع البنكية (ريال)</t>
  </si>
  <si>
    <t>العقارات (ريال)</t>
  </si>
  <si>
    <t>الأسهم والاستثمارات (ريال)</t>
  </si>
  <si>
    <t>السيارات والمنقولات (ريال)</t>
  </si>
  <si>
    <t>الذهب والمجوهرات (ريال)</t>
  </si>
  <si>
    <t>مستحقات وديون له (ريال)</t>
  </si>
  <si>
    <t>أصول أخرى (ريال)</t>
  </si>
  <si>
    <t>إجمالي الأصول</t>
  </si>
  <si>
    <t>ثانياً: الخصومات (بالترتيب الشرعي)</t>
  </si>
  <si>
    <t>① تجهيز ودفن المتوفى (ريال)</t>
  </si>
  <si>
    <t>② الديون المستحقة عليه (ريال)</t>
  </si>
  <si>
    <t>③ الوصية (بحد أقصى الثلث) (ريال)</t>
  </si>
  <si>
    <t>التحقق: هل الوصية ضمن الثلث؟</t>
  </si>
  <si>
    <t>إجمالي الخصومات</t>
  </si>
  <si>
    <t>⭐ صافي التركة القابلة للتوزيع</t>
  </si>
  <si>
    <t>صافي التركة (ريال)</t>
  </si>
  <si>
    <t>🔑 دليل الألوان:</t>
  </si>
  <si>
    <t xml:space="preserve">  خلايا الإدخال</t>
  </si>
  <si>
    <t xml:space="preserve">  خلايا محسوبة</t>
  </si>
  <si>
    <t xml:space="preserve">  نتائج رئيسية</t>
  </si>
  <si>
    <t xml:space="preserve">  تحذير/سلبي</t>
  </si>
  <si>
    <t>تحديد الورثة وأنصبتهم الشرعية</t>
  </si>
  <si>
    <t>أدخل عدد كل نوع من الورثة – ثم راجع ورقة 'التقسيم' للنتائج</t>
  </si>
  <si>
    <t>صافي التركة (من ورقة صافي التركة) (ريال)</t>
  </si>
  <si>
    <t>عدد الورثة من كل نوع</t>
  </si>
  <si>
    <t>الوارث</t>
  </si>
  <si>
    <t>العدد</t>
  </si>
  <si>
    <t>الفرض الأساسي</t>
  </si>
  <si>
    <t>الحالة</t>
  </si>
  <si>
    <t>الزوج</t>
  </si>
  <si>
    <t>النصف أو الربع</t>
  </si>
  <si>
    <t>يرث النصف إن لم يكن فرع وارث، والربع إن وُجد</t>
  </si>
  <si>
    <t>الزوجة (أو الزوجات)</t>
  </si>
  <si>
    <t>الربع أو الثمن</t>
  </si>
  <si>
    <t>الربع إن لم يكن فرع وارث، والثمن إن وُجد</t>
  </si>
  <si>
    <t>الأب</t>
  </si>
  <si>
    <t>السدس + تعصيب</t>
  </si>
  <si>
    <t>السدس فرضاً مع وجود الابن، وتعصيب بدونه</t>
  </si>
  <si>
    <t>الأم</t>
  </si>
  <si>
    <t>السدس أو الثلث</t>
  </si>
  <si>
    <t>الثلث إن لم يكن فرع وارث/إخوة، والسدس مع وجودهم</t>
  </si>
  <si>
    <t>الابن</t>
  </si>
  <si>
    <t>تعصيب</t>
  </si>
  <si>
    <t>يأخذ الباقي، وللذكر مثل حظ الأنثيين</t>
  </si>
  <si>
    <t>البنت</t>
  </si>
  <si>
    <t>النصف/الثلثان/تعصيب</t>
  </si>
  <si>
    <t>النصف للواحدة، الثلثان لأكثر، وتعصيب مع الابن</t>
  </si>
  <si>
    <t>الجد (أب الأب)</t>
  </si>
  <si>
    <t>كالأب عند عدم وجوده</t>
  </si>
  <si>
    <t>الجدة</t>
  </si>
  <si>
    <t>السدس</t>
  </si>
  <si>
    <t>السدس عند عدم وجود الأم</t>
  </si>
  <si>
    <t>الأخ الشقيق</t>
  </si>
  <si>
    <t>يرث الباقي عند عدم وجود الفرع والأصل الذكر</t>
  </si>
  <si>
    <t>الأخت الشقيقة</t>
  </si>
  <si>
    <t>حسب العدد ووجود المعصّب</t>
  </si>
  <si>
    <t>تقسيم التركة على الورثة</t>
  </si>
  <si>
    <t>⚠️ هذا تقدير مبسط للحالات الشائعة – الحالات المعقدة (العول، الرد، الحجب) تحتاج مختصاً</t>
  </si>
  <si>
    <t>نوع النصيب</t>
  </si>
  <si>
    <t>النسبة</t>
  </si>
  <si>
    <t>إجمالي النصيب (ريال)</t>
  </si>
  <si>
    <t>نصيب الفرد (ريال)</t>
  </si>
  <si>
    <t>الزوجة</t>
  </si>
  <si>
    <t>الجد</t>
  </si>
  <si>
    <t>إجمالي الفروض الموزعة</t>
  </si>
  <si>
    <t>الباقي للتعصيب (الأبناء) (ريال)</t>
  </si>
  <si>
    <t>📖 ملاحظة: في حال وجود أبناء ذكور، يُقسّم الباقي بينهم وبين البنات: للذكر مثل حظ الأنثيين. راجع ورقة 'دليل الفرائض'</t>
  </si>
  <si>
    <t>دليل الفرائض والأنصبة الشرعية</t>
  </si>
  <si>
    <t>أصحاب الفروض المقدّرة</t>
  </si>
  <si>
    <t>النصيب</t>
  </si>
  <si>
    <t>من يستحقه</t>
  </si>
  <si>
    <t>النصف (1/2)</t>
  </si>
  <si>
    <t>الزوج (بلا فرع وارث) · البنت الواحدة · بنت الابن · الأخت الشقيقة الواحدة</t>
  </si>
  <si>
    <t>الربع (1/4)</t>
  </si>
  <si>
    <t>الزوج (مع فرع وارث) · الزوجة (بلا فرع وارث)</t>
  </si>
  <si>
    <t>الثمن (1/8)</t>
  </si>
  <si>
    <t>الزوجة (مع فرع وارث)</t>
  </si>
  <si>
    <t>الثلثان (2/3)</t>
  </si>
  <si>
    <t>البنتان فأكثر · بنتا الابن · الأختان الشقيقتان فأكثر</t>
  </si>
  <si>
    <t>الثلث (1/3)</t>
  </si>
  <si>
    <t>الأم (بلا فرع وارث ولا إخوة) · الإخوة لأم (اثنان فأكثر)</t>
  </si>
  <si>
    <t>السدس (1/6)</t>
  </si>
  <si>
    <t>الأب والأم (مع الفرع الوارث) · الجدة · بنت الابن مع البنت · الأخ لأم</t>
  </si>
  <si>
    <t>قواعد مهمة</t>
  </si>
  <si>
    <t>• العصبة: من يأخذ ما بقي بعد أصحاب الفروض (الابن، الأب، الأخ...)</t>
  </si>
  <si>
    <t>• للذكر مثل حظ الأنثيين عند اجتماع الذكور والإناث في التعصيب</t>
  </si>
  <si>
    <t>• الحجب: قد يُحجب بعض الورثة بوجود آخرين (مثلاً الأخ يُحجب بالابن)</t>
  </si>
  <si>
    <t>• العول: إذا زادت الفروض عن التركة تُقسّم بالنسبة والتناسب</t>
  </si>
  <si>
    <t>• الرد: إذا بقي شيء بعد الفروض ولا عصبة، يُرد على أصحاب الفروض</t>
  </si>
  <si>
    <t>• الكلالة والمسائل المعقدة تحتاج مختصاً في علم الفرائض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</si>
</sst>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1" x14ac:knownFonts="1">
    <font>
      <sz val="11"/>
      <color theme="1"/>
      <name val="Calibri"/>
      <family val="2"/>
      <charset val="1"/>
    </font>
    <font>
      <b/>
      <sz val="19"/>
      <color rgb="FFFFFFFF"/>
      <name val="Arial"/>
      <charset val="1"/>
    </font>
    <font>
      <sz val="11"/>
      <color rgb="FFC9A84C"/>
      <name val="Arial"/>
      <charset val="1"/>
    </font>
    <font>
      <b/>
      <sz val="10"/>
      <color rgb="FFFFFFFF"/>
      <name val="Arial"/>
      <charset val="1"/>
    </font>
    <font>
      <sz val="9"/>
      <color rgb="FF1F3864"/>
      <name val="Arial"/>
      <charset val="1"/>
    </font>
    <font>
      <b/>
      <sz val="13"/>
      <color rgb="FFFFFFFF"/>
      <name val="Arial"/>
      <charset val="1"/>
    </font>
    <font>
      <b/>
      <sz val="9"/>
      <color rgb="FF7B0000"/>
      <name val="Arial"/>
      <charset val="1"/>
    </font>
    <font>
      <b/>
      <sz val="11"/>
      <color rgb="FFFFFFFF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  <font>
      <b/>
      <sz val="10"/>
      <color rgb="FF375623"/>
      <name val="Arial"/>
      <charset val="1"/>
    </font>
    <font>
      <b/>
      <sz val="10"/>
      <color rgb="FF1F3864"/>
      <name val="Arial"/>
      <charset val="1"/>
    </font>
    <font>
      <b/>
      <sz val="9"/>
      <color rgb="FF1F3864"/>
      <name val="Arial"/>
      <charset val="1"/>
    </font>
    <font>
      <b/>
      <sz val="10"/>
      <color rgb="FF7B0000"/>
      <name val="Arial"/>
      <charset val="1"/>
    </font>
    <font>
      <sz val="8"/>
      <color rgb="FF0000FF"/>
      <name val="Arial"/>
      <charset val="1"/>
    </font>
    <font>
      <sz val="8"/>
      <color rgb="FF000000"/>
      <name val="Arial"/>
      <charset val="1"/>
    </font>
    <font>
      <sz val="8"/>
      <color rgb="FF375623"/>
      <name val="Arial"/>
      <charset val="1"/>
    </font>
    <font>
      <sz val="8"/>
      <color rgb="FF7B0000"/>
      <name val="Arial"/>
      <charset val="1"/>
    </font>
    <font>
      <i/>
      <sz val="9"/>
      <color rgb="FF2E5FA3"/>
      <name val="Arial"/>
      <charset val="1"/>
    </font>
    <font>
      <b/>
      <sz val="9"/>
      <color rgb="FFFFFFFF"/>
      <name val="Arial"/>
      <charset val="1"/>
    </font>
    <font>
      <sz val="10"/>
      <color rgb="FF1F3864"/>
      <name val="Arial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C9A84C"/>
        <bgColor rgb="FFFF9900"/>
      </patternFill>
    </fill>
    <fill>
      <patternFill patternType="solid">
        <fgColor rgb="FF2E7D32"/>
        <bgColor rgb="FF008000"/>
      </patternFill>
    </fill>
    <fill>
      <patternFill patternType="solid">
        <fgColor rgb="FFDEEAF1"/>
        <bgColor rgb="FFD9EEF1"/>
      </patternFill>
    </fill>
    <fill>
      <patternFill patternType="solid">
        <fgColor rgb="FFFCE4D6"/>
        <bgColor rgb="FFF2F2F2"/>
      </patternFill>
    </fill>
    <fill>
      <patternFill patternType="solid">
        <fgColor rgb="FF2E5FA3"/>
        <bgColor rgb="FF3366FF"/>
      </patternFill>
    </fill>
    <fill>
      <patternFill patternType="solid">
        <fgColor rgb="FFFFFFFF"/>
        <bgColor rgb="FFF2F2F2"/>
      </patternFill>
    </fill>
    <fill>
      <patternFill patternType="solid">
        <fgColor rgb="FFE2EFDA"/>
        <bgColor rgb="FFDEEAF1"/>
      </patternFill>
    </fill>
    <fill>
      <patternFill patternType="solid">
        <fgColor rgb="FFF2F2F2"/>
        <bgColor rgb="FFE2EFDA"/>
      </patternFill>
    </fill>
    <fill>
      <patternFill patternType="solid">
        <fgColor rgb="FFD9EEF1"/>
        <bgColor rgb="FFDEEAF1"/>
      </patternFill>
    </fill>
  </fills>
  <borders count="5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medium">
        <color rgb="FF1F3864"/>
      </left>
      <right/>
      <top style="medium">
        <color rgb="FF1F3864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8" fillId="8" borderId="1" xfId="0" applyFont="1" applyFill="1" applyBorder="1" applyAlignment="1">
      <alignment horizontal="left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3" borderId="0" xfId="0" applyFill="1"/>
    <xf numFmtId="0" fontId="8" fillId="8" borderId="2" xfId="0" applyFont="1" applyFill="1" applyBorder="1" applyAlignment="1">
      <alignment horizontal="left" vertical="center" wrapText="1"/>
    </xf>
    <xf numFmtId="0" fontId="11" fillId="5" borderId="2" xfId="0" applyFont="1" applyFill="1" applyBorder="1" applyAlignment="1">
      <alignment horizontal="left" vertical="center" wrapText="1"/>
    </xf>
    <xf numFmtId="0" fontId="12" fillId="0" borderId="0" xfId="0" applyFont="1"/>
    <xf numFmtId="0" fontId="14" fillId="5" borderId="2" xfId="0" applyFont="1" applyFill="1" applyBorder="1"/>
    <xf numFmtId="0" fontId="15" fillId="10" borderId="2" xfId="0" applyFont="1" applyFill="1" applyBorder="1"/>
    <xf numFmtId="0" fontId="16" fillId="9" borderId="2" xfId="0" applyFont="1" applyFill="1" applyBorder="1"/>
    <xf numFmtId="0" fontId="17" fillId="6" borderId="2" xfId="0" applyFont="1" applyFill="1" applyBorder="1"/>
    <xf numFmtId="3" fontId="8" fillId="10" borderId="2" xfId="0" applyNumberFormat="1" applyFont="1" applyFill="1" applyBorder="1" applyAlignment="1">
      <alignment horizontal="right" vertical="center"/>
    </xf>
    <xf numFmtId="0" fontId="19" fillId="2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left" vertical="center" wrapText="1"/>
    </xf>
    <xf numFmtId="1" fontId="9" fillId="5" borderId="2" xfId="0" applyNumberFormat="1" applyFont="1" applyFill="1" applyBorder="1" applyAlignment="1">
      <alignment horizontal="right" vertical="center"/>
    </xf>
    <xf numFmtId="0" fontId="8" fillId="10" borderId="2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0" fontId="6" fillId="6" borderId="0" xfId="0" applyFont="1" applyFill="1" applyAlignment="1" applyProtection="1">
      <alignment horizontal="center" vertical="center" wrapText="1"/>
      <protection locked="0"/>
    </xf>
    <xf numFmtId="0" fontId="7" fillId="7" borderId="2" xfId="0" applyFont="1" applyFill="1" applyBorder="1" applyAlignment="1" applyProtection="1">
      <alignment horizontal="center" vertical="center" wrapText="1"/>
      <protection locked="0"/>
    </xf>
    <xf numFmtId="0" fontId="8" fillId="8" borderId="2" xfId="0" applyFont="1" applyFill="1" applyBorder="1" applyAlignment="1" applyProtection="1">
      <alignment horizontal="left" vertical="center" wrapText="1"/>
      <protection locked="0"/>
    </xf>
    <xf numFmtId="3" fontId="9" fillId="5" borderId="2" xfId="0" applyNumberFormat="1" applyFont="1" applyFill="1" applyBorder="1" applyAlignment="1" applyProtection="1">
      <alignment horizontal="right" vertical="center"/>
      <protection locked="0"/>
    </xf>
    <xf numFmtId="0" fontId="3" fillId="7" borderId="2" xfId="0" applyFont="1" applyFill="1" applyBorder="1" applyAlignment="1" applyProtection="1">
      <alignment horizontal="center" vertical="center" wrapText="1"/>
      <protection locked="0"/>
    </xf>
    <xf numFmtId="0" fontId="11" fillId="5" borderId="2" xfId="0" applyFont="1" applyFill="1" applyBorder="1" applyAlignment="1" applyProtection="1">
      <alignment horizontal="left" vertical="center" wrapText="1"/>
      <protection locked="0"/>
    </xf>
    <xf numFmtId="0" fontId="7" fillId="2" borderId="2" xfId="0" applyFont="1" applyFill="1" applyBorder="1" applyAlignment="1" applyProtection="1">
      <alignment horizontal="center" vertical="center" wrapText="1"/>
      <protection locked="0"/>
    </xf>
    <xf numFmtId="0" fontId="12" fillId="0" borderId="0" xfId="0" applyFont="1" applyProtection="1">
      <protection locked="0"/>
    </xf>
    <xf numFmtId="0" fontId="14" fillId="5" borderId="2" xfId="0" applyFont="1" applyFill="1" applyBorder="1" applyProtection="1">
      <protection locked="0"/>
    </xf>
    <xf numFmtId="0" fontId="15" fillId="10" borderId="2" xfId="0" applyFont="1" applyFill="1" applyBorder="1" applyProtection="1">
      <protection locked="0"/>
    </xf>
    <xf numFmtId="0" fontId="16" fillId="9" borderId="2" xfId="0" applyFont="1" applyFill="1" applyBorder="1" applyProtection="1">
      <protection locked="0"/>
    </xf>
    <xf numFmtId="0" fontId="17" fillId="6" borderId="2" xfId="0" applyFont="1" applyFill="1" applyBorder="1" applyProtection="1">
      <protection locked="0"/>
    </xf>
    <xf numFmtId="4" fontId="10" fillId="9" borderId="3" xfId="0" applyNumberFormat="1" applyFont="1" applyFill="1" applyBorder="1" applyAlignment="1" applyProtection="1">
      <alignment horizontal="right" vertical="center"/>
      <protection locked="0" hidden="1"/>
    </xf>
    <xf numFmtId="0" fontId="12" fillId="5" borderId="2" xfId="0" applyFont="1" applyFill="1" applyBorder="1" applyAlignment="1" applyProtection="1">
      <alignment horizontal="left" vertical="center" wrapText="1"/>
      <protection locked="0" hidden="1"/>
    </xf>
    <xf numFmtId="4" fontId="13" fillId="6" borderId="3" xfId="0" applyNumberFormat="1" applyFont="1" applyFill="1" applyBorder="1" applyAlignment="1" applyProtection="1">
      <alignment horizontal="right" vertical="center"/>
      <protection locked="0" hidden="1"/>
    </xf>
    <xf numFmtId="0" fontId="0" fillId="0" borderId="0" xfId="0" applyProtection="1">
      <protection locked="0" hidden="1"/>
    </xf>
    <xf numFmtId="0" fontId="19" fillId="2" borderId="2" xfId="0" applyFont="1" applyFill="1" applyBorder="1" applyAlignment="1" applyProtection="1">
      <alignment horizontal="center" vertical="center" wrapText="1"/>
      <protection locked="0"/>
    </xf>
    <xf numFmtId="0" fontId="8" fillId="5" borderId="2" xfId="0" applyFont="1" applyFill="1" applyBorder="1" applyAlignment="1" applyProtection="1">
      <alignment horizontal="left" vertical="center" wrapText="1"/>
      <protection locked="0"/>
    </xf>
    <xf numFmtId="0" fontId="3" fillId="7" borderId="2" xfId="0" applyFont="1" applyFill="1" applyBorder="1" applyAlignment="1" applyProtection="1">
      <alignment horizontal="center" vertical="center" wrapText="1"/>
      <protection locked="0"/>
    </xf>
    <xf numFmtId="0" fontId="20" fillId="11" borderId="4" xfId="0" applyFont="1" applyFill="1" applyBorder="1" applyAlignment="1" applyProtection="1">
      <alignment horizontal="left" vertical="center" wrapText="1"/>
      <protection locked="0"/>
    </xf>
    <xf numFmtId="3" fontId="8" fillId="10" borderId="2" xfId="0" applyNumberFormat="1" applyFont="1" applyFill="1" applyBorder="1" applyAlignment="1" applyProtection="1">
      <alignment horizontal="right" vertical="center"/>
      <protection locked="0" hidden="1"/>
    </xf>
    <xf numFmtId="1" fontId="8" fillId="10" borderId="2" xfId="0" applyNumberFormat="1" applyFont="1" applyFill="1" applyBorder="1" applyAlignment="1" applyProtection="1">
      <alignment horizontal="right" vertical="center"/>
      <protection locked="0" hidden="1"/>
    </xf>
    <xf numFmtId="49" fontId="8" fillId="10" borderId="2" xfId="0" applyNumberFormat="1" applyFont="1" applyFill="1" applyBorder="1" applyAlignment="1" applyProtection="1">
      <alignment horizontal="right" vertical="center"/>
      <protection locked="0" hidden="1"/>
    </xf>
    <xf numFmtId="164" fontId="8" fillId="10" borderId="2" xfId="0" applyNumberFormat="1" applyFont="1" applyFill="1" applyBorder="1" applyAlignment="1" applyProtection="1">
      <alignment horizontal="right" vertical="center"/>
      <protection locked="0" hidden="1"/>
    </xf>
  </cellXfs>
  <cellStyles count="1">
    <cellStyle name="عادي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9EEF1"/>
      <rgbColor rgb="FF660066"/>
      <rgbColor rgb="FFFF8080"/>
      <rgbColor rgb="FF2E5FA3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C9A84C"/>
      <rgbColor rgb="FF1F3864"/>
      <rgbColor rgb="FF2E7D32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"/>
  <sheetViews>
    <sheetView rightToLeft="1" zoomScaleNormal="100" workbookViewId="0">
      <selection sqref="A1:J5"/>
    </sheetView>
  </sheetViews>
  <sheetFormatPr defaultColWidth="8.6328125" defaultRowHeight="14.5" x14ac:dyDescent="0.35"/>
  <cols>
    <col min="1" max="10" width="8.453125" customWidth="1"/>
  </cols>
  <sheetData>
    <row r="1" spans="1:10" ht="25.5" customHeight="1" x14ac:dyDescent="0.3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</row>
    <row r="2" spans="1:10" ht="16.5" customHeight="1" x14ac:dyDescent="0.35">
      <c r="A2" s="9"/>
      <c r="B2" s="9"/>
      <c r="C2" s="9"/>
      <c r="D2" s="9"/>
      <c r="E2" s="9"/>
      <c r="F2" s="9"/>
      <c r="G2" s="9"/>
      <c r="H2" s="9"/>
      <c r="I2" s="9"/>
      <c r="J2" s="9"/>
    </row>
    <row r="3" spans="1:10" ht="16.5" customHeight="1" x14ac:dyDescent="0.35">
      <c r="A3" s="9"/>
      <c r="B3" s="9"/>
      <c r="C3" s="9"/>
      <c r="D3" s="9"/>
      <c r="E3" s="9"/>
      <c r="F3" s="9"/>
      <c r="G3" s="9"/>
      <c r="H3" s="9"/>
      <c r="I3" s="9"/>
      <c r="J3" s="9"/>
    </row>
    <row r="4" spans="1:10" ht="16.5" customHeight="1" x14ac:dyDescent="0.35">
      <c r="A4" s="9"/>
      <c r="B4" s="9"/>
      <c r="C4" s="9"/>
      <c r="D4" s="9"/>
      <c r="E4" s="9"/>
      <c r="F4" s="9"/>
      <c r="G4" s="9"/>
      <c r="H4" s="9"/>
      <c r="I4" s="9"/>
      <c r="J4" s="9"/>
    </row>
    <row r="5" spans="1:10" ht="16.5" customHeight="1" x14ac:dyDescent="0.35">
      <c r="A5" s="9"/>
      <c r="B5" s="9"/>
      <c r="C5" s="9"/>
      <c r="D5" s="9"/>
      <c r="E5" s="9"/>
      <c r="F5" s="9"/>
      <c r="G5" s="9"/>
      <c r="H5" s="9"/>
      <c r="I5" s="9"/>
      <c r="J5" s="9"/>
    </row>
    <row r="6" spans="1:10" ht="16.5" customHeight="1" x14ac:dyDescent="0.35">
      <c r="A6" s="8" t="s">
        <v>1</v>
      </c>
      <c r="B6" s="8"/>
      <c r="C6" s="8"/>
      <c r="D6" s="8"/>
      <c r="E6" s="8"/>
      <c r="F6" s="8"/>
      <c r="G6" s="8"/>
      <c r="H6" s="8"/>
      <c r="I6" s="8"/>
      <c r="J6" s="8"/>
    </row>
    <row r="7" spans="1:10" ht="16.5" customHeight="1" x14ac:dyDescent="0.35">
      <c r="A7" s="8"/>
      <c r="B7" s="8"/>
      <c r="C7" s="8"/>
      <c r="D7" s="8"/>
      <c r="E7" s="8"/>
      <c r="F7" s="8"/>
      <c r="G7" s="8"/>
      <c r="H7" s="8"/>
      <c r="I7" s="8"/>
      <c r="J7" s="8"/>
    </row>
    <row r="8" spans="1:10" ht="3" customHeight="1" x14ac:dyDescent="0.35">
      <c r="A8" s="10"/>
      <c r="B8" s="10"/>
      <c r="C8" s="10"/>
      <c r="D8" s="10"/>
      <c r="E8" s="10"/>
      <c r="F8" s="10"/>
      <c r="G8" s="10"/>
      <c r="H8" s="10"/>
      <c r="I8" s="10"/>
      <c r="J8" s="10"/>
    </row>
    <row r="9" spans="1:10" ht="18.75" customHeight="1" x14ac:dyDescent="0.35">
      <c r="B9" s="7" t="s">
        <v>2</v>
      </c>
      <c r="C9" s="7"/>
      <c r="D9" s="7"/>
      <c r="E9" s="7" t="s">
        <v>3</v>
      </c>
      <c r="F9" s="7"/>
      <c r="G9" s="7"/>
      <c r="H9" s="7" t="s">
        <v>4</v>
      </c>
      <c r="I9" s="7"/>
      <c r="J9" s="7"/>
    </row>
    <row r="10" spans="1:10" ht="15" customHeight="1" x14ac:dyDescent="0.35">
      <c r="B10" s="6" t="s">
        <v>5</v>
      </c>
      <c r="C10" s="6"/>
      <c r="D10" s="6"/>
      <c r="E10" s="6" t="s">
        <v>6</v>
      </c>
      <c r="F10" s="6"/>
      <c r="G10" s="6"/>
      <c r="H10" s="6" t="s">
        <v>7</v>
      </c>
      <c r="I10" s="6"/>
      <c r="J10" s="6"/>
    </row>
    <row r="11" spans="1:10" ht="16.5" customHeight="1" x14ac:dyDescent="0.35"/>
    <row r="12" spans="1:10" ht="16.5" customHeight="1" x14ac:dyDescent="0.35"/>
    <row r="13" spans="1:10" ht="18.75" customHeight="1" x14ac:dyDescent="0.35">
      <c r="B13" s="7" t="s">
        <v>8</v>
      </c>
      <c r="C13" s="7"/>
      <c r="D13" s="7"/>
      <c r="E13" s="7" t="s">
        <v>9</v>
      </c>
      <c r="F13" s="7"/>
      <c r="G13" s="7"/>
      <c r="H13" s="7" t="s">
        <v>10</v>
      </c>
      <c r="I13" s="7"/>
      <c r="J13" s="7"/>
    </row>
    <row r="14" spans="1:10" ht="15" customHeight="1" x14ac:dyDescent="0.35">
      <c r="B14" s="6" t="s">
        <v>11</v>
      </c>
      <c r="C14" s="6"/>
      <c r="D14" s="6"/>
      <c r="E14" s="6" t="s">
        <v>12</v>
      </c>
      <c r="F14" s="6"/>
      <c r="G14" s="6"/>
      <c r="H14" s="6" t="s">
        <v>13</v>
      </c>
      <c r="I14" s="6"/>
      <c r="J14" s="6"/>
    </row>
    <row r="15" spans="1:10" ht="16.5" customHeight="1" x14ac:dyDescent="0.35"/>
    <row r="16" spans="1:10" ht="16.5" customHeight="1" x14ac:dyDescent="0.35"/>
    <row r="17" ht="16.5" customHeight="1" x14ac:dyDescent="0.35"/>
    <row r="18" ht="16.5" customHeight="1" x14ac:dyDescent="0.35"/>
    <row r="19" ht="16.5" customHeight="1" x14ac:dyDescent="0.35"/>
    <row r="20" ht="16.5" customHeight="1" x14ac:dyDescent="0.35"/>
    <row r="21" ht="16.5" customHeight="1" x14ac:dyDescent="0.35"/>
    <row r="22" ht="16.5" customHeight="1" x14ac:dyDescent="0.35"/>
    <row r="23" ht="16.5" customHeight="1" x14ac:dyDescent="0.35"/>
    <row r="24" ht="16.5" customHeight="1" x14ac:dyDescent="0.35"/>
    <row r="25" ht="16.5" customHeight="1" x14ac:dyDescent="0.35"/>
    <row r="26" ht="16.5" customHeight="1" x14ac:dyDescent="0.35"/>
    <row r="27" ht="16.5" customHeight="1" x14ac:dyDescent="0.35"/>
    <row r="28" ht="16.5" customHeight="1" x14ac:dyDescent="0.35"/>
    <row r="29" ht="16.5" customHeight="1" x14ac:dyDescent="0.35"/>
    <row r="30" ht="16.5" customHeight="1" x14ac:dyDescent="0.35"/>
    <row r="31" ht="16.5" customHeight="1" x14ac:dyDescent="0.35"/>
    <row r="32" ht="16.5" customHeight="1" x14ac:dyDescent="0.35"/>
    <row r="33" ht="16.5" customHeight="1" x14ac:dyDescent="0.35"/>
    <row r="34" ht="16.5" customHeight="1" x14ac:dyDescent="0.35"/>
    <row r="35" ht="16.5" customHeight="1" x14ac:dyDescent="0.35"/>
    <row r="36" ht="16.5" customHeight="1" x14ac:dyDescent="0.35"/>
    <row r="37" ht="16.5" customHeight="1" x14ac:dyDescent="0.35"/>
    <row r="38" ht="16.5" customHeight="1" x14ac:dyDescent="0.35"/>
    <row r="39" ht="16.5" customHeight="1" x14ac:dyDescent="0.35"/>
    <row r="40" ht="16.5" customHeight="1" x14ac:dyDescent="0.35"/>
    <row r="41" ht="16.5" customHeight="1" x14ac:dyDescent="0.35"/>
    <row r="42" ht="16.5" customHeight="1" x14ac:dyDescent="0.35"/>
    <row r="43" ht="16.5" customHeight="1" x14ac:dyDescent="0.35"/>
    <row r="44" ht="16.5" customHeight="1" x14ac:dyDescent="0.35"/>
    <row r="45" ht="16.5" customHeight="1" x14ac:dyDescent="0.35"/>
    <row r="46" ht="16.5" customHeight="1" x14ac:dyDescent="0.35"/>
    <row r="47" ht="16.5" customHeight="1" x14ac:dyDescent="0.35"/>
    <row r="48" ht="16.5" customHeight="1" x14ac:dyDescent="0.35"/>
    <row r="49" ht="16.5" customHeight="1" x14ac:dyDescent="0.35"/>
  </sheetData>
  <mergeCells count="14">
    <mergeCell ref="B14:D14"/>
    <mergeCell ref="E14:G14"/>
    <mergeCell ref="H14:J14"/>
    <mergeCell ref="B10:D10"/>
    <mergeCell ref="E10:G10"/>
    <mergeCell ref="H10:J10"/>
    <mergeCell ref="B13:D13"/>
    <mergeCell ref="E13:G13"/>
    <mergeCell ref="H13:J13"/>
    <mergeCell ref="A1:J5"/>
    <mergeCell ref="A6:J7"/>
    <mergeCell ref="B9:D9"/>
    <mergeCell ref="E9:G9"/>
    <mergeCell ref="H9:J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8"/>
  <sheetViews>
    <sheetView rightToLeft="1" topLeftCell="A7" zoomScaleNormal="100" workbookViewId="0">
      <selection activeCell="B22" sqref="B22"/>
    </sheetView>
  </sheetViews>
  <sheetFormatPr defaultColWidth="8.6328125" defaultRowHeight="14.5" x14ac:dyDescent="0.35"/>
  <cols>
    <col min="1" max="1" width="36" style="25" customWidth="1"/>
    <col min="2" max="2" width="20" style="25" customWidth="1"/>
    <col min="3" max="5" width="10" style="25" customWidth="1"/>
    <col min="6" max="16384" width="8.6328125" style="25"/>
  </cols>
  <sheetData>
    <row r="1" spans="1:5" ht="27.75" customHeight="1" x14ac:dyDescent="0.35">
      <c r="A1" s="24" t="s">
        <v>14</v>
      </c>
      <c r="B1" s="24"/>
      <c r="C1" s="24"/>
      <c r="D1" s="24"/>
      <c r="E1" s="24"/>
    </row>
    <row r="2" spans="1:5" ht="18" customHeight="1" x14ac:dyDescent="0.35">
      <c r="A2" s="26" t="s">
        <v>15</v>
      </c>
      <c r="B2" s="26"/>
      <c r="C2" s="26"/>
      <c r="D2" s="26"/>
      <c r="E2" s="26"/>
    </row>
    <row r="4" spans="1:5" ht="21.75" customHeight="1" x14ac:dyDescent="0.35">
      <c r="A4" s="27" t="s">
        <v>16</v>
      </c>
      <c r="B4" s="27"/>
      <c r="C4" s="27"/>
      <c r="D4" s="27"/>
      <c r="E4" s="27"/>
    </row>
    <row r="5" spans="1:5" ht="16.5" customHeight="1" x14ac:dyDescent="0.35">
      <c r="A5" s="28" t="s">
        <v>17</v>
      </c>
      <c r="B5" s="29">
        <v>0</v>
      </c>
    </row>
    <row r="6" spans="1:5" ht="16.5" customHeight="1" x14ac:dyDescent="0.35">
      <c r="A6" s="28" t="s">
        <v>18</v>
      </c>
      <c r="B6" s="29">
        <v>0</v>
      </c>
    </row>
    <row r="7" spans="1:5" ht="16.5" customHeight="1" x14ac:dyDescent="0.35">
      <c r="A7" s="28" t="s">
        <v>19</v>
      </c>
      <c r="B7" s="29">
        <v>0</v>
      </c>
    </row>
    <row r="8" spans="1:5" ht="16.5" customHeight="1" x14ac:dyDescent="0.35">
      <c r="A8" s="28" t="s">
        <v>20</v>
      </c>
      <c r="B8" s="29">
        <v>0</v>
      </c>
    </row>
    <row r="9" spans="1:5" ht="16.5" customHeight="1" x14ac:dyDescent="0.35">
      <c r="A9" s="28" t="s">
        <v>21</v>
      </c>
      <c r="B9" s="29">
        <v>0</v>
      </c>
    </row>
    <row r="10" spans="1:5" ht="16.5" customHeight="1" x14ac:dyDescent="0.35">
      <c r="A10" s="28" t="s">
        <v>22</v>
      </c>
      <c r="B10" s="29">
        <v>0</v>
      </c>
    </row>
    <row r="11" spans="1:5" ht="16.5" customHeight="1" x14ac:dyDescent="0.35">
      <c r="A11" s="28" t="s">
        <v>23</v>
      </c>
      <c r="B11" s="29">
        <v>0</v>
      </c>
    </row>
    <row r="12" spans="1:5" ht="19.5" customHeight="1" x14ac:dyDescent="0.35">
      <c r="A12" s="30" t="s">
        <v>24</v>
      </c>
      <c r="B12" s="38">
        <f>SUM(B5:B11)</f>
        <v>0</v>
      </c>
    </row>
    <row r="14" spans="1:5" ht="21.75" customHeight="1" x14ac:dyDescent="0.35">
      <c r="A14" s="27" t="s">
        <v>25</v>
      </c>
      <c r="B14" s="27"/>
      <c r="C14" s="27"/>
      <c r="D14" s="27"/>
      <c r="E14" s="27"/>
    </row>
    <row r="15" spans="1:5" ht="16.5" customHeight="1" x14ac:dyDescent="0.35">
      <c r="A15" s="28" t="s">
        <v>26</v>
      </c>
      <c r="B15" s="29">
        <v>0</v>
      </c>
    </row>
    <row r="16" spans="1:5" ht="16.5" customHeight="1" x14ac:dyDescent="0.35">
      <c r="A16" s="28" t="s">
        <v>27</v>
      </c>
      <c r="B16" s="29">
        <v>0</v>
      </c>
    </row>
    <row r="17" spans="1:5" ht="16.5" customHeight="1" x14ac:dyDescent="0.35">
      <c r="A17" s="28" t="s">
        <v>28</v>
      </c>
      <c r="B17" s="29">
        <v>0</v>
      </c>
    </row>
    <row r="18" spans="1:5" ht="16.5" customHeight="1" x14ac:dyDescent="0.35">
      <c r="A18" s="31" t="s">
        <v>29</v>
      </c>
      <c r="B18" s="39" t="str">
        <f>IF(B17&lt;=(B12-B15-B16)/3,"✅ ضمن الحد","⚠️ تتجاوز الثلث - تحتاج إجازة الورثة")</f>
        <v>✅ ضمن الحد</v>
      </c>
      <c r="C18" s="39"/>
      <c r="D18" s="39"/>
      <c r="E18" s="39"/>
    </row>
    <row r="19" spans="1:5" ht="19.5" customHeight="1" x14ac:dyDescent="0.35">
      <c r="A19" s="30" t="s">
        <v>30</v>
      </c>
      <c r="B19" s="40">
        <f>SUM(B15:B17)</f>
        <v>0</v>
      </c>
      <c r="C19" s="41"/>
      <c r="D19" s="41"/>
      <c r="E19" s="41"/>
    </row>
    <row r="21" spans="1:5" ht="21.75" customHeight="1" x14ac:dyDescent="0.35">
      <c r="A21" s="32" t="s">
        <v>31</v>
      </c>
      <c r="B21" s="32"/>
      <c r="C21" s="32"/>
      <c r="D21" s="32"/>
      <c r="E21" s="32"/>
    </row>
    <row r="22" spans="1:5" ht="19.5" customHeight="1" x14ac:dyDescent="0.35">
      <c r="A22" s="31" t="s">
        <v>32</v>
      </c>
      <c r="B22" s="38">
        <f>MAX(B12-B19,0)</f>
        <v>0</v>
      </c>
    </row>
    <row r="24" spans="1:5" x14ac:dyDescent="0.35">
      <c r="A24" s="33" t="s">
        <v>33</v>
      </c>
    </row>
    <row r="25" spans="1:5" ht="12.75" customHeight="1" x14ac:dyDescent="0.35">
      <c r="A25" s="34" t="s">
        <v>34</v>
      </c>
    </row>
    <row r="26" spans="1:5" ht="12.75" customHeight="1" x14ac:dyDescent="0.35">
      <c r="A26" s="35" t="s">
        <v>35</v>
      </c>
    </row>
    <row r="27" spans="1:5" ht="12.75" customHeight="1" x14ac:dyDescent="0.35">
      <c r="A27" s="36" t="s">
        <v>36</v>
      </c>
    </row>
    <row r="28" spans="1:5" ht="12.75" customHeight="1" x14ac:dyDescent="0.35">
      <c r="A28" s="37" t="s">
        <v>37</v>
      </c>
    </row>
  </sheetData>
  <sheetProtection algorithmName="SHA-512" hashValue="zZ7EoZJ52xPp7iZZmmN8uNZ5ZPdHv0t/pbaEjXhYSirTURz7vKfrI+hbVtfAPaMb4vBTwRsyMYAgrxUHbMg5Fg==" saltValue="F3UH98MVoLoY3Vcyk92+Lg==" spinCount="100000" sheet="1" objects="1" scenarios="1"/>
  <mergeCells count="6">
    <mergeCell ref="A21:E21"/>
    <mergeCell ref="A1:E1"/>
    <mergeCell ref="A2:E2"/>
    <mergeCell ref="A4:E4"/>
    <mergeCell ref="A14:E14"/>
    <mergeCell ref="B18:E18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3"/>
  <sheetViews>
    <sheetView rightToLeft="1" topLeftCell="A4" zoomScaleNormal="100" workbookViewId="0">
      <selection activeCell="B4" sqref="B4"/>
    </sheetView>
  </sheetViews>
  <sheetFormatPr defaultColWidth="8.6328125" defaultRowHeight="14.5" x14ac:dyDescent="0.35"/>
  <cols>
    <col min="1" max="1" width="18" customWidth="1"/>
    <col min="2" max="2" width="8" customWidth="1"/>
    <col min="3" max="4" width="18" customWidth="1"/>
    <col min="5" max="6" width="12" customWidth="1"/>
  </cols>
  <sheetData>
    <row r="1" spans="1:6" ht="27.75" customHeight="1" x14ac:dyDescent="0.35">
      <c r="A1" s="5" t="s">
        <v>38</v>
      </c>
      <c r="B1" s="5"/>
      <c r="C1" s="5"/>
      <c r="D1" s="5"/>
      <c r="E1" s="5"/>
      <c r="F1" s="5"/>
    </row>
    <row r="2" spans="1:6" ht="15" customHeight="1" x14ac:dyDescent="0.35">
      <c r="A2" s="3" t="s">
        <v>39</v>
      </c>
      <c r="B2" s="3"/>
      <c r="C2" s="3"/>
      <c r="D2" s="3"/>
      <c r="E2" s="3"/>
      <c r="F2" s="3"/>
    </row>
    <row r="4" spans="1:6" ht="18" customHeight="1" x14ac:dyDescent="0.35">
      <c r="A4" s="12" t="s">
        <v>40</v>
      </c>
      <c r="B4" s="18">
        <f>'صافي التركة'!B22</f>
        <v>0</v>
      </c>
    </row>
    <row r="6" spans="1:6" ht="21.75" customHeight="1" x14ac:dyDescent="0.35">
      <c r="A6" s="4" t="s">
        <v>41</v>
      </c>
      <c r="B6" s="4"/>
      <c r="C6" s="4"/>
      <c r="D6" s="4"/>
      <c r="E6" s="4"/>
      <c r="F6" s="4"/>
    </row>
    <row r="7" spans="1:6" ht="19.5" customHeight="1" x14ac:dyDescent="0.35">
      <c r="A7" s="19" t="s">
        <v>42</v>
      </c>
      <c r="B7" s="19" t="s">
        <v>43</v>
      </c>
      <c r="C7" s="19" t="s">
        <v>44</v>
      </c>
      <c r="D7" s="2" t="s">
        <v>45</v>
      </c>
      <c r="E7" s="2"/>
      <c r="F7" s="2"/>
    </row>
    <row r="8" spans="1:6" ht="19.5" customHeight="1" x14ac:dyDescent="0.35">
      <c r="A8" s="20" t="s">
        <v>46</v>
      </c>
      <c r="B8" s="21">
        <v>0</v>
      </c>
      <c r="C8" s="22" t="s">
        <v>47</v>
      </c>
      <c r="D8" s="1" t="s">
        <v>48</v>
      </c>
      <c r="E8" s="1"/>
      <c r="F8" s="1"/>
    </row>
    <row r="9" spans="1:6" ht="19.5" customHeight="1" x14ac:dyDescent="0.35">
      <c r="A9" s="11" t="s">
        <v>49</v>
      </c>
      <c r="B9" s="21">
        <v>0</v>
      </c>
      <c r="C9" s="22" t="s">
        <v>50</v>
      </c>
      <c r="D9" s="1" t="s">
        <v>51</v>
      </c>
      <c r="E9" s="1"/>
      <c r="F9" s="1"/>
    </row>
    <row r="10" spans="1:6" ht="19.5" customHeight="1" x14ac:dyDescent="0.35">
      <c r="A10" s="20" t="s">
        <v>52</v>
      </c>
      <c r="B10" s="21">
        <v>0</v>
      </c>
      <c r="C10" s="22" t="s">
        <v>53</v>
      </c>
      <c r="D10" s="1" t="s">
        <v>54</v>
      </c>
      <c r="E10" s="1"/>
      <c r="F10" s="1"/>
    </row>
    <row r="11" spans="1:6" ht="19.5" customHeight="1" x14ac:dyDescent="0.35">
      <c r="A11" s="11" t="s">
        <v>55</v>
      </c>
      <c r="B11" s="21">
        <v>0</v>
      </c>
      <c r="C11" s="22" t="s">
        <v>56</v>
      </c>
      <c r="D11" s="1" t="s">
        <v>57</v>
      </c>
      <c r="E11" s="1"/>
      <c r="F11" s="1"/>
    </row>
    <row r="12" spans="1:6" ht="19.5" customHeight="1" x14ac:dyDescent="0.35">
      <c r="A12" s="20" t="s">
        <v>58</v>
      </c>
      <c r="B12" s="21">
        <v>0</v>
      </c>
      <c r="C12" s="22" t="s">
        <v>59</v>
      </c>
      <c r="D12" s="1" t="s">
        <v>60</v>
      </c>
      <c r="E12" s="1"/>
      <c r="F12" s="1"/>
    </row>
    <row r="13" spans="1:6" ht="19.5" customHeight="1" x14ac:dyDescent="0.35">
      <c r="A13" s="11" t="s">
        <v>61</v>
      </c>
      <c r="B13" s="21">
        <v>0</v>
      </c>
      <c r="C13" s="22" t="s">
        <v>62</v>
      </c>
      <c r="D13" s="1" t="s">
        <v>63</v>
      </c>
      <c r="E13" s="1"/>
      <c r="F13" s="1"/>
    </row>
    <row r="14" spans="1:6" ht="19.5" customHeight="1" x14ac:dyDescent="0.35">
      <c r="A14" s="20" t="s">
        <v>64</v>
      </c>
      <c r="B14" s="21">
        <v>0</v>
      </c>
      <c r="C14" s="22" t="s">
        <v>53</v>
      </c>
      <c r="D14" s="1" t="s">
        <v>65</v>
      </c>
      <c r="E14" s="1"/>
      <c r="F14" s="1"/>
    </row>
    <row r="15" spans="1:6" ht="19.5" customHeight="1" x14ac:dyDescent="0.35">
      <c r="A15" s="11" t="s">
        <v>66</v>
      </c>
      <c r="B15" s="21">
        <v>0</v>
      </c>
      <c r="C15" s="22" t="s">
        <v>67</v>
      </c>
      <c r="D15" s="1" t="s">
        <v>68</v>
      </c>
      <c r="E15" s="1"/>
      <c r="F15" s="1"/>
    </row>
    <row r="16" spans="1:6" ht="19.5" customHeight="1" x14ac:dyDescent="0.35">
      <c r="A16" s="20" t="s">
        <v>69</v>
      </c>
      <c r="B16" s="21">
        <v>0</v>
      </c>
      <c r="C16" s="22" t="s">
        <v>59</v>
      </c>
      <c r="D16" s="1" t="s">
        <v>70</v>
      </c>
      <c r="E16" s="1"/>
      <c r="F16" s="1"/>
    </row>
    <row r="17" spans="1:6" ht="19.5" customHeight="1" x14ac:dyDescent="0.35">
      <c r="A17" s="11" t="s">
        <v>71</v>
      </c>
      <c r="B17" s="21">
        <v>0</v>
      </c>
      <c r="C17" s="22" t="s">
        <v>62</v>
      </c>
      <c r="D17" s="1" t="s">
        <v>72</v>
      </c>
      <c r="E17" s="1"/>
      <c r="F17" s="1"/>
    </row>
    <row r="19" spans="1:6" x14ac:dyDescent="0.35">
      <c r="A19" s="13" t="s">
        <v>33</v>
      </c>
    </row>
    <row r="20" spans="1:6" ht="12.75" customHeight="1" x14ac:dyDescent="0.35">
      <c r="A20" s="14" t="s">
        <v>34</v>
      </c>
    </row>
    <row r="21" spans="1:6" ht="12.75" customHeight="1" x14ac:dyDescent="0.35">
      <c r="A21" s="15" t="s">
        <v>35</v>
      </c>
    </row>
    <row r="22" spans="1:6" ht="12.75" customHeight="1" x14ac:dyDescent="0.35">
      <c r="A22" s="16" t="s">
        <v>36</v>
      </c>
    </row>
    <row r="23" spans="1:6" ht="12.75" customHeight="1" x14ac:dyDescent="0.35">
      <c r="A23" s="17" t="s">
        <v>37</v>
      </c>
    </row>
  </sheetData>
  <mergeCells count="14">
    <mergeCell ref="D14:F14"/>
    <mergeCell ref="D15:F15"/>
    <mergeCell ref="D16:F16"/>
    <mergeCell ref="D17:F17"/>
    <mergeCell ref="D9:F9"/>
    <mergeCell ref="D10:F10"/>
    <mergeCell ref="D11:F11"/>
    <mergeCell ref="D12:F12"/>
    <mergeCell ref="D13:F13"/>
    <mergeCell ref="A1:F1"/>
    <mergeCell ref="A2:F2"/>
    <mergeCell ref="A6:F6"/>
    <mergeCell ref="D7:F7"/>
    <mergeCell ref="D8:F8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7"/>
  <sheetViews>
    <sheetView rightToLeft="1" topLeftCell="A3" zoomScaleNormal="100" workbookViewId="0">
      <selection activeCell="A20" sqref="A20:F21"/>
    </sheetView>
  </sheetViews>
  <sheetFormatPr defaultColWidth="8.6328125" defaultRowHeight="14.5" x14ac:dyDescent="0.35"/>
  <cols>
    <col min="1" max="1" width="18" style="25" customWidth="1"/>
    <col min="2" max="2" width="8" style="25" customWidth="1"/>
    <col min="3" max="3" width="16" style="25" customWidth="1"/>
    <col min="4" max="4" width="12" style="25" customWidth="1"/>
    <col min="5" max="5" width="18" style="25" customWidth="1"/>
    <col min="6" max="6" width="16" style="25" customWidth="1"/>
    <col min="7" max="16384" width="8.6328125" style="25"/>
  </cols>
  <sheetData>
    <row r="1" spans="1:6" ht="27.75" customHeight="1" x14ac:dyDescent="0.35">
      <c r="A1" s="24" t="s">
        <v>73</v>
      </c>
      <c r="B1" s="24"/>
      <c r="C1" s="24"/>
      <c r="D1" s="24"/>
      <c r="E1" s="24"/>
      <c r="F1" s="24"/>
    </row>
    <row r="2" spans="1:6" ht="18" customHeight="1" x14ac:dyDescent="0.35">
      <c r="A2" s="26" t="s">
        <v>74</v>
      </c>
      <c r="B2" s="26"/>
      <c r="C2" s="26"/>
      <c r="D2" s="26"/>
      <c r="E2" s="26"/>
      <c r="F2" s="26"/>
    </row>
    <row r="4" spans="1:6" ht="18" customHeight="1" x14ac:dyDescent="0.35">
      <c r="A4" s="31" t="s">
        <v>32</v>
      </c>
      <c r="B4" s="46">
        <f>'الورثة والأنصبة'!B4</f>
        <v>0</v>
      </c>
    </row>
    <row r="6" spans="1:6" ht="19.5" customHeight="1" x14ac:dyDescent="0.35">
      <c r="A6" s="42" t="s">
        <v>42</v>
      </c>
      <c r="B6" s="42" t="s">
        <v>43</v>
      </c>
      <c r="C6" s="42" t="s">
        <v>75</v>
      </c>
      <c r="D6" s="42" t="s">
        <v>76</v>
      </c>
      <c r="E6" s="42" t="s">
        <v>77</v>
      </c>
      <c r="F6" s="42" t="s">
        <v>78</v>
      </c>
    </row>
    <row r="7" spans="1:6" ht="16.5" customHeight="1" x14ac:dyDescent="0.35">
      <c r="A7" s="43" t="s">
        <v>46</v>
      </c>
      <c r="B7" s="47">
        <f>'الورثة والأنصبة'!B8</f>
        <v>0</v>
      </c>
      <c r="C7" s="48" t="str">
        <f>IF(B7=0,"-",IF(OR('الورثة والأنصبة'!B12&gt;0,'الورثة والأنصبة'!B13&gt;0),"الربع","النصف"))</f>
        <v>-</v>
      </c>
      <c r="D7" s="49">
        <f>IF(B7=0,0,IF(OR('الورثة والأنصبة'!B12&gt;0,'الورثة والأنصبة'!B13&gt;0),0.25,0.5))</f>
        <v>0</v>
      </c>
      <c r="E7" s="46">
        <f t="shared" ref="E7:E16" si="0">$B$4*D7</f>
        <v>0</v>
      </c>
      <c r="F7" s="46">
        <f t="shared" ref="F7:F16" si="1">IF(B7=0,0,E7/B7)</f>
        <v>0</v>
      </c>
    </row>
    <row r="8" spans="1:6" ht="16.5" customHeight="1" x14ac:dyDescent="0.35">
      <c r="A8" s="28" t="s">
        <v>79</v>
      </c>
      <c r="B8" s="47">
        <f>'الورثة والأنصبة'!B9</f>
        <v>0</v>
      </c>
      <c r="C8" s="48" t="str">
        <f>IF(B8=0,"-",IF(OR('الورثة والأنصبة'!B12&gt;0,'الورثة والأنصبة'!B13&gt;0),"الثمن","الربع"))</f>
        <v>-</v>
      </c>
      <c r="D8" s="49">
        <f>IF(B8=0,0,IF(OR('الورثة والأنصبة'!B12&gt;0,'الورثة والأنصبة'!B13&gt;0),0.125,0.25))</f>
        <v>0</v>
      </c>
      <c r="E8" s="46">
        <f t="shared" si="0"/>
        <v>0</v>
      </c>
      <c r="F8" s="46">
        <f t="shared" si="1"/>
        <v>0</v>
      </c>
    </row>
    <row r="9" spans="1:6" ht="16.5" customHeight="1" x14ac:dyDescent="0.35">
      <c r="A9" s="43" t="s">
        <v>52</v>
      </c>
      <c r="B9" s="47">
        <f>'الورثة والأنصبة'!B10</f>
        <v>0</v>
      </c>
      <c r="C9" s="48" t="str">
        <f>IF(B9=0,"-","السدس+")</f>
        <v>-</v>
      </c>
      <c r="D9" s="49">
        <f>IF(B9=0,0,1/6)</f>
        <v>0</v>
      </c>
      <c r="E9" s="46">
        <f t="shared" si="0"/>
        <v>0</v>
      </c>
      <c r="F9" s="46">
        <f t="shared" si="1"/>
        <v>0</v>
      </c>
    </row>
    <row r="10" spans="1:6" ht="16.5" customHeight="1" x14ac:dyDescent="0.35">
      <c r="A10" s="28" t="s">
        <v>55</v>
      </c>
      <c r="B10" s="47">
        <f>'الورثة والأنصبة'!B11</f>
        <v>0</v>
      </c>
      <c r="C10" s="48" t="str">
        <f>IF(B10=0,"-",IF(OR('الورثة والأنصبة'!B12&gt;0,'الورثة والأنصبة'!B13&gt;0),"السدس","الثلث"))</f>
        <v>-</v>
      </c>
      <c r="D10" s="49">
        <f>IF(B10=0,0,IF(OR('الورثة والأنصبة'!B12&gt;0,'الورثة والأنصبة'!B13&gt;0),1/6,1/3))</f>
        <v>0</v>
      </c>
      <c r="E10" s="46">
        <f t="shared" si="0"/>
        <v>0</v>
      </c>
      <c r="F10" s="46">
        <f t="shared" si="1"/>
        <v>0</v>
      </c>
    </row>
    <row r="11" spans="1:6" ht="16.5" customHeight="1" x14ac:dyDescent="0.35">
      <c r="A11" s="43" t="s">
        <v>58</v>
      </c>
      <c r="B11" s="47">
        <f>'الورثة والأنصبة'!B12</f>
        <v>0</v>
      </c>
      <c r="C11" s="48" t="str">
        <f>IF(B11=0,"-","تعصيب (الباقي)")</f>
        <v>-</v>
      </c>
      <c r="D11" s="49">
        <f>IF(B11=0,0,MAX(1-SUMIF(D7:D16,"&lt;1")*0,0))</f>
        <v>0</v>
      </c>
      <c r="E11" s="46">
        <f t="shared" si="0"/>
        <v>0</v>
      </c>
      <c r="F11" s="46">
        <f t="shared" si="1"/>
        <v>0</v>
      </c>
    </row>
    <row r="12" spans="1:6" ht="16.5" customHeight="1" x14ac:dyDescent="0.35">
      <c r="A12" s="28" t="s">
        <v>61</v>
      </c>
      <c r="B12" s="47">
        <f>'الورثة والأنصبة'!B13</f>
        <v>0</v>
      </c>
      <c r="C12" s="48" t="str">
        <f>IF(B12=0,"-",IF('الورثة والأنصبة'!B12&gt;0,"تعصيب",IF(B12=1,"النصف","الثلثان")))</f>
        <v>-</v>
      </c>
      <c r="D12" s="49">
        <f>IF(B12=0,0,IF('الورثة والأنصبة'!B12&gt;0,0,IF(B12=1,0.5,2/3)))</f>
        <v>0</v>
      </c>
      <c r="E12" s="46">
        <f t="shared" si="0"/>
        <v>0</v>
      </c>
      <c r="F12" s="46">
        <f t="shared" si="1"/>
        <v>0</v>
      </c>
    </row>
    <row r="13" spans="1:6" ht="16.5" customHeight="1" x14ac:dyDescent="0.35">
      <c r="A13" s="43" t="s">
        <v>80</v>
      </c>
      <c r="B13" s="47">
        <f>'الورثة والأنصبة'!B14</f>
        <v>0</v>
      </c>
      <c r="C13" s="48" t="str">
        <f>IF(B13=0,"-","يحدده المختص")</f>
        <v>-</v>
      </c>
      <c r="D13" s="49">
        <f>0</f>
        <v>0</v>
      </c>
      <c r="E13" s="46">
        <f t="shared" si="0"/>
        <v>0</v>
      </c>
      <c r="F13" s="46">
        <f t="shared" si="1"/>
        <v>0</v>
      </c>
    </row>
    <row r="14" spans="1:6" ht="16.5" customHeight="1" x14ac:dyDescent="0.35">
      <c r="A14" s="28" t="s">
        <v>66</v>
      </c>
      <c r="B14" s="47">
        <f>'الورثة والأنصبة'!B15</f>
        <v>0</v>
      </c>
      <c r="C14" s="48" t="str">
        <f>IF(B14=0,"-","يحدده المختص")</f>
        <v>-</v>
      </c>
      <c r="D14" s="49">
        <f>0</f>
        <v>0</v>
      </c>
      <c r="E14" s="46">
        <f t="shared" si="0"/>
        <v>0</v>
      </c>
      <c r="F14" s="46">
        <f t="shared" si="1"/>
        <v>0</v>
      </c>
    </row>
    <row r="15" spans="1:6" ht="16.5" customHeight="1" x14ac:dyDescent="0.35">
      <c r="A15" s="43" t="s">
        <v>69</v>
      </c>
      <c r="B15" s="47">
        <f>'الورثة والأنصبة'!B16</f>
        <v>0</v>
      </c>
      <c r="C15" s="48" t="str">
        <f>IF(B15=0,"-","يحدده المختص")</f>
        <v>-</v>
      </c>
      <c r="D15" s="49">
        <f>0</f>
        <v>0</v>
      </c>
      <c r="E15" s="46">
        <f t="shared" si="0"/>
        <v>0</v>
      </c>
      <c r="F15" s="46">
        <f t="shared" si="1"/>
        <v>0</v>
      </c>
    </row>
    <row r="16" spans="1:6" ht="16.5" customHeight="1" x14ac:dyDescent="0.35">
      <c r="A16" s="28" t="s">
        <v>71</v>
      </c>
      <c r="B16" s="47">
        <f>'الورثة والأنصبة'!B17</f>
        <v>0</v>
      </c>
      <c r="C16" s="48" t="str">
        <f>IF(B16=0,"-","يحدده المختص")</f>
        <v>-</v>
      </c>
      <c r="D16" s="49">
        <f>0</f>
        <v>0</v>
      </c>
      <c r="E16" s="46">
        <f t="shared" si="0"/>
        <v>0</v>
      </c>
      <c r="F16" s="46">
        <f t="shared" si="1"/>
        <v>0</v>
      </c>
    </row>
    <row r="17" spans="1:6" ht="19.5" customHeight="1" x14ac:dyDescent="0.35">
      <c r="A17" s="44" t="s">
        <v>81</v>
      </c>
      <c r="B17" s="44"/>
      <c r="C17" s="44"/>
      <c r="D17" s="44"/>
      <c r="E17" s="46">
        <f>SUM(E7:E16)</f>
        <v>0</v>
      </c>
    </row>
    <row r="18" spans="1:6" ht="18" customHeight="1" x14ac:dyDescent="0.35">
      <c r="A18" s="31" t="s">
        <v>82</v>
      </c>
      <c r="E18" s="38">
        <f>MAX($B$4-E17,0)</f>
        <v>0</v>
      </c>
    </row>
    <row r="20" spans="1:6" ht="21.75" customHeight="1" x14ac:dyDescent="0.35">
      <c r="A20" s="45" t="s">
        <v>83</v>
      </c>
      <c r="B20" s="45"/>
      <c r="C20" s="45"/>
      <c r="D20" s="45"/>
      <c r="E20" s="45"/>
      <c r="F20" s="45"/>
    </row>
    <row r="21" spans="1:6" x14ac:dyDescent="0.35">
      <c r="A21" s="45"/>
      <c r="B21" s="45"/>
      <c r="C21" s="45"/>
      <c r="D21" s="45"/>
      <c r="E21" s="45"/>
      <c r="F21" s="45"/>
    </row>
    <row r="23" spans="1:6" x14ac:dyDescent="0.35">
      <c r="A23" s="33" t="s">
        <v>33</v>
      </c>
    </row>
    <row r="24" spans="1:6" ht="12.75" customHeight="1" x14ac:dyDescent="0.35">
      <c r="A24" s="34" t="s">
        <v>34</v>
      </c>
    </row>
    <row r="25" spans="1:6" ht="12.75" customHeight="1" x14ac:dyDescent="0.35">
      <c r="A25" s="35" t="s">
        <v>35</v>
      </c>
    </row>
    <row r="26" spans="1:6" ht="12.75" customHeight="1" x14ac:dyDescent="0.35">
      <c r="A26" s="36" t="s">
        <v>36</v>
      </c>
    </row>
    <row r="27" spans="1:6" ht="12.75" customHeight="1" x14ac:dyDescent="0.35">
      <c r="A27" s="37" t="s">
        <v>37</v>
      </c>
    </row>
  </sheetData>
  <sheetProtection algorithmName="SHA-512" hashValue="h8ZmZUa7rdMs9KELH0MdoPE6DZnQmLp03nmixJyLicRA9AK+xqDBMPykCJgam5IinZVGSKiGedSleI1BI6gVtg==" saltValue="RkIsgQADlfbjF0n8KwZzmg==" spinCount="100000" sheet="1" objects="1" scenarios="1"/>
  <mergeCells count="4">
    <mergeCell ref="A1:F1"/>
    <mergeCell ref="A2:F2"/>
    <mergeCell ref="A17:D17"/>
    <mergeCell ref="A20:F2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8"/>
  <sheetViews>
    <sheetView rightToLeft="1" tabSelected="1" zoomScaleNormal="100" workbookViewId="0">
      <selection activeCell="A9" sqref="A9"/>
    </sheetView>
  </sheetViews>
  <sheetFormatPr defaultColWidth="8.6328125" defaultRowHeight="14.5" x14ac:dyDescent="0.35"/>
  <cols>
    <col min="1" max="1" width="18" customWidth="1"/>
    <col min="2" max="2" width="24" customWidth="1"/>
    <col min="3" max="4" width="18" customWidth="1"/>
  </cols>
  <sheetData>
    <row r="1" spans="1:4" ht="27.75" customHeight="1" x14ac:dyDescent="0.35">
      <c r="A1" s="5" t="s">
        <v>84</v>
      </c>
      <c r="B1" s="5"/>
      <c r="C1" s="5"/>
      <c r="D1" s="5"/>
    </row>
    <row r="3" spans="1:4" ht="21.75" customHeight="1" x14ac:dyDescent="0.35">
      <c r="A3" s="4" t="s">
        <v>85</v>
      </c>
      <c r="B3" s="4"/>
      <c r="C3" s="4"/>
      <c r="D3" s="4"/>
    </row>
    <row r="4" spans="1:4" ht="18" customHeight="1" x14ac:dyDescent="0.35">
      <c r="A4" s="19" t="s">
        <v>86</v>
      </c>
      <c r="B4" s="2" t="s">
        <v>87</v>
      </c>
      <c r="C4" s="2"/>
      <c r="D4" s="2"/>
    </row>
    <row r="5" spans="1:4" ht="24" customHeight="1" x14ac:dyDescent="0.35">
      <c r="A5" s="12" t="s">
        <v>88</v>
      </c>
      <c r="B5" s="1" t="s">
        <v>89</v>
      </c>
      <c r="C5" s="1"/>
      <c r="D5" s="1"/>
    </row>
    <row r="6" spans="1:4" ht="24" customHeight="1" x14ac:dyDescent="0.35">
      <c r="A6" s="12" t="s">
        <v>90</v>
      </c>
      <c r="B6" s="1" t="s">
        <v>91</v>
      </c>
      <c r="C6" s="1"/>
      <c r="D6" s="1"/>
    </row>
    <row r="7" spans="1:4" ht="24" customHeight="1" x14ac:dyDescent="0.35">
      <c r="A7" s="12" t="s">
        <v>92</v>
      </c>
      <c r="B7" s="1" t="s">
        <v>93</v>
      </c>
      <c r="C7" s="1"/>
      <c r="D7" s="1"/>
    </row>
    <row r="8" spans="1:4" ht="24" customHeight="1" x14ac:dyDescent="0.35">
      <c r="A8" s="12" t="s">
        <v>94</v>
      </c>
      <c r="B8" s="1" t="s">
        <v>95</v>
      </c>
      <c r="C8" s="1"/>
      <c r="D8" s="1"/>
    </row>
    <row r="9" spans="1:4" ht="24" customHeight="1" x14ac:dyDescent="0.35">
      <c r="A9" s="12" t="s">
        <v>96</v>
      </c>
      <c r="B9" s="1" t="s">
        <v>97</v>
      </c>
      <c r="C9" s="1"/>
      <c r="D9" s="1"/>
    </row>
    <row r="10" spans="1:4" ht="24" customHeight="1" x14ac:dyDescent="0.35">
      <c r="A10" s="12" t="s">
        <v>98</v>
      </c>
      <c r="B10" s="1" t="s">
        <v>99</v>
      </c>
      <c r="C10" s="1"/>
      <c r="D10" s="1"/>
    </row>
    <row r="12" spans="1:4" ht="21.75" customHeight="1" x14ac:dyDescent="0.35">
      <c r="A12" s="4" t="s">
        <v>100</v>
      </c>
      <c r="B12" s="4"/>
      <c r="C12" s="4"/>
      <c r="D12" s="4"/>
    </row>
    <row r="13" spans="1:4" ht="19.5" customHeight="1" x14ac:dyDescent="0.35">
      <c r="A13" s="23" t="s">
        <v>101</v>
      </c>
      <c r="B13" s="23"/>
      <c r="C13" s="23"/>
      <c r="D13" s="23"/>
    </row>
    <row r="14" spans="1:4" ht="19.5" customHeight="1" x14ac:dyDescent="0.35">
      <c r="A14" s="1" t="s">
        <v>102</v>
      </c>
      <c r="B14" s="1"/>
      <c r="C14" s="1"/>
      <c r="D14" s="1"/>
    </row>
    <row r="15" spans="1:4" ht="19.5" customHeight="1" x14ac:dyDescent="0.35">
      <c r="A15" s="23" t="s">
        <v>103</v>
      </c>
      <c r="B15" s="23"/>
      <c r="C15" s="23"/>
      <c r="D15" s="23"/>
    </row>
    <row r="16" spans="1:4" ht="19.5" customHeight="1" x14ac:dyDescent="0.35">
      <c r="A16" s="1" t="s">
        <v>104</v>
      </c>
      <c r="B16" s="1"/>
      <c r="C16" s="1"/>
      <c r="D16" s="1"/>
    </row>
    <row r="17" spans="1:4" ht="19.5" customHeight="1" x14ac:dyDescent="0.35">
      <c r="A17" s="23" t="s">
        <v>105</v>
      </c>
      <c r="B17" s="23"/>
      <c r="C17" s="23"/>
      <c r="D17" s="23"/>
    </row>
    <row r="18" spans="1:4" ht="19.5" customHeight="1" x14ac:dyDescent="0.35">
      <c r="A18" s="1" t="s">
        <v>106</v>
      </c>
      <c r="B18" s="1"/>
      <c r="C18" s="1"/>
      <c r="D18" s="1"/>
    </row>
  </sheetData>
  <mergeCells count="16">
    <mergeCell ref="A18:D18"/>
    <mergeCell ref="A13:D13"/>
    <mergeCell ref="A14:D14"/>
    <mergeCell ref="A15:D15"/>
    <mergeCell ref="A16:D16"/>
    <mergeCell ref="A17:D17"/>
    <mergeCell ref="B7:D7"/>
    <mergeCell ref="B8:D8"/>
    <mergeCell ref="B9:D9"/>
    <mergeCell ref="B10:D10"/>
    <mergeCell ref="A12:D12"/>
    <mergeCell ref="A1:D1"/>
    <mergeCell ref="A3:D3"/>
    <mergeCell ref="B4:D4"/>
    <mergeCell ref="B5:D5"/>
    <mergeCell ref="B6:D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5</vt:i4>
      </vt:variant>
    </vt:vector>
  </HeadingPairs>
  <TitlesOfParts>
    <vt:vector size="5" baseType="lpstr">
      <vt:lpstr>الغلاف</vt:lpstr>
      <vt:lpstr>صافي التركة</vt:lpstr>
      <vt:lpstr>الورثة والأنصبة</vt:lpstr>
      <vt:lpstr>التقسيم</vt:lpstr>
      <vt:lpstr>دليل الفرائض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abdullahmonief@outlook.sa</cp:lastModifiedBy>
  <cp:revision>0</cp:revision>
  <dcterms:created xsi:type="dcterms:W3CDTF">2026-06-12T08:01:11Z</dcterms:created>
  <dcterms:modified xsi:type="dcterms:W3CDTF">2026-06-13T17:30:34Z</dcterms:modified>
  <dc:language>en-US</dc:language>
</cp:coreProperties>
</file>