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abdul\Downloads\مجلد جديد\"/>
    </mc:Choice>
  </mc:AlternateContent>
  <xr:revisionPtr revIDLastSave="0" documentId="13_ncr:1_{EDD4BE7C-3192-4627-8D10-902CD5B27788}" xr6:coauthVersionLast="47" xr6:coauthVersionMax="47" xr10:uidLastSave="{00000000-0000-0000-0000-000000000000}"/>
  <bookViews>
    <workbookView xWindow="-110" yWindow="-110" windowWidth="19420" windowHeight="10300" tabRatio="500" xr2:uid="{00000000-000D-0000-FFFF-FFFF00000000}"/>
  </bookViews>
  <sheets>
    <sheet name="الغلاف" sheetId="1" r:id="rId1"/>
    <sheet name="خطة العمل" sheetId="2" r:id="rId2"/>
    <sheet name="دراسة الجدوى" sheetId="3" r:id="rId3"/>
    <sheet name="الموارد البشرية" sheetId="4" r:id="rId4"/>
    <sheet name="عقد العمل" sheetId="5" r:id="rId5"/>
    <sheet name="مؤشرات الأداء KPIs" sheetId="6" r:id="rId6"/>
    <sheet name="الخطة التشغيلية" sheetId="7" r:id="rId7"/>
  </sheets>
  <calcPr calcId="191029" iterateDelta="1E-4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loext="http://schemas.libreoffice.org/" uri="{7626C862-2A13-11E5-B345-FEFF819CDC9F}">
      <loext:extCalcPr stringRefSyntax="ExcelA1"/>
    </ext>
  </extLst>
</workbook>
</file>

<file path=xl/calcChain.xml><?xml version="1.0" encoding="utf-8"?>
<calcChain xmlns="http://schemas.openxmlformats.org/spreadsheetml/2006/main">
  <c r="F39" i="4" l="1"/>
  <c r="F38" i="4"/>
  <c r="F37" i="4"/>
  <c r="F36" i="4"/>
  <c r="F35" i="4"/>
  <c r="F34" i="4"/>
  <c r="C29" i="4"/>
  <c r="D28" i="4"/>
  <c r="D27" i="4"/>
  <c r="D26" i="4"/>
  <c r="D25" i="4"/>
  <c r="D24" i="4"/>
  <c r="D23" i="4"/>
  <c r="D22" i="4"/>
  <c r="D29" i="4" s="1"/>
  <c r="B45" i="3"/>
  <c r="B37" i="3"/>
  <c r="B43" i="3" s="1"/>
  <c r="C36" i="3"/>
  <c r="C37" i="3" s="1"/>
  <c r="C35" i="3"/>
  <c r="C34" i="3"/>
  <c r="C33" i="3"/>
  <c r="B29" i="3"/>
  <c r="B44" i="3" s="1"/>
  <c r="C28" i="3"/>
  <c r="C27" i="3"/>
  <c r="C26" i="3"/>
  <c r="C25" i="3"/>
  <c r="C24" i="3"/>
  <c r="C23" i="3"/>
  <c r="C22" i="3"/>
  <c r="C21" i="3"/>
  <c r="C29" i="3" s="1"/>
  <c r="B17" i="3"/>
  <c r="B42" i="3" l="1"/>
  <c r="B41" i="3"/>
  <c r="B40" i="3"/>
</calcChain>
</file>

<file path=xl/sharedStrings.xml><?xml version="1.0" encoding="utf-8"?>
<sst xmlns="http://schemas.openxmlformats.org/spreadsheetml/2006/main" count="390" uniqueCount="272">
  <si>
    <t>حزمة قوالب وثائق الأعمال الاحترافية</t>
  </si>
  <si>
    <t>كل ما تحتاجه لتأسيس وإدارة مشروعك التجاري في السعودية</t>
  </si>
  <si>
    <t>📋 خطة العمل</t>
  </si>
  <si>
    <t>📊 دراسة الجدوى</t>
  </si>
  <si>
    <t>👥 إدارة الموارد البشرية</t>
  </si>
  <si>
    <t>نموذج منظم ومحترف</t>
  </si>
  <si>
    <t>اتخاذ قرار مدروس</t>
  </si>
  <si>
    <t>توظيف وتقييم وعقود</t>
  </si>
  <si>
    <t>📑 عقود وإقرارات</t>
  </si>
  <si>
    <t>🎯 مؤشرات الأداء</t>
  </si>
  <si>
    <t>📆 خطة تشغيلية</t>
  </si>
  <si>
    <t>صياغة قانونية جاهزة</t>
  </si>
  <si>
    <t>KPIs لكل قطاع</t>
  </si>
  <si>
    <t>جداول وخطط تنفيذية</t>
  </si>
  <si>
    <t>قالب خطة العمل الاحترافية</t>
  </si>
  <si>
    <t>1. الملخص التنفيذي</t>
  </si>
  <si>
    <t>اسم المشروع / الشركة</t>
  </si>
  <si>
    <t>أدخل هنا...</t>
  </si>
  <si>
    <t>الرؤية والرسالة</t>
  </si>
  <si>
    <t>المنتجات / الخدمات الرئيسية</t>
  </si>
  <si>
    <t>الفئة المستهدفة</t>
  </si>
  <si>
    <t>الميزة التنافسية</t>
  </si>
  <si>
    <t>رأس المال المطلوب (ريال)</t>
  </si>
  <si>
    <t>0</t>
  </si>
  <si>
    <t>متوقع الإيراد السنوي الأول (ريال)</t>
  </si>
  <si>
    <t>فترة الاسترداد المتوقعة</t>
  </si>
  <si>
    <t>2. وصف المشروع</t>
  </si>
  <si>
    <t>طبيعة النشاط التجاري</t>
  </si>
  <si>
    <t>المشكلة التي يحلها المشروع</t>
  </si>
  <si>
    <t>الحل المقدم</t>
  </si>
  <si>
    <t>نموذج الإيراد (Revenue Model)</t>
  </si>
  <si>
    <t>مرحلة المشروع الحالية</t>
  </si>
  <si>
    <t>الموقع الجغرافي</t>
  </si>
  <si>
    <t>3. تحليل السوق</t>
  </si>
  <si>
    <t>حجم السوق المستهدف (ريال)</t>
  </si>
  <si>
    <t>معدل نمو السوق السنوي %</t>
  </si>
  <si>
    <t>المنافسون الرئيسيون</t>
  </si>
  <si>
    <t>نقاط قوة المنافسين</t>
  </si>
  <si>
    <t>نقاط ضعف المنافسين</t>
  </si>
  <si>
    <t>حصة السوق المستهدفة %</t>
  </si>
  <si>
    <t>4. المنتجات والخدمات</t>
  </si>
  <si>
    <t>المنتج/الخدمة الأولى – الوصف</t>
  </si>
  <si>
    <t>السعر</t>
  </si>
  <si>
    <t>المنتج/الخدمة الثانية – الوصف</t>
  </si>
  <si>
    <t>المنتج/الخدمة الثالثة – الوصف</t>
  </si>
  <si>
    <t>5. الخطة التسويقية</t>
  </si>
  <si>
    <t>قنوات التوزيع</t>
  </si>
  <si>
    <t>استراتيجية التسعير</t>
  </si>
  <si>
    <t>ميزانية التسويق الشهرية (ريال)</t>
  </si>
  <si>
    <t>منصات التواصل الاجتماعي المستهدفة</t>
  </si>
  <si>
    <t>خطة اكتساب العملاء</t>
  </si>
  <si>
    <t>هدف عدد العملاء (السنة الأولى)</t>
  </si>
  <si>
    <t>6. الهيكل التنظيمي</t>
  </si>
  <si>
    <t>المؤسس / المدير التنفيذي</t>
  </si>
  <si>
    <t>عدد الموظفين عند الانطلاق</t>
  </si>
  <si>
    <t>الوظائف الأساسية المطلوبة</t>
  </si>
  <si>
    <t>الاستشاريون والشركاء</t>
  </si>
  <si>
    <t>7. الجدول الزمني للإطلاق</t>
  </si>
  <si>
    <t>الشهر 1-2: مرحلة التأسيس</t>
  </si>
  <si>
    <t>الشهر 3-4: مرحلة الإطلاق</t>
  </si>
  <si>
    <t>الشهر 5-6: مرحلة النمو</t>
  </si>
  <si>
    <t>السنة الأولى: الهدف الرئيسي</t>
  </si>
  <si>
    <t>8. المخاطر وخطط التحوط</t>
  </si>
  <si>
    <t>أكبر خطر تشغيلي</t>
  </si>
  <si>
    <t>أكبر خطر مالي</t>
  </si>
  <si>
    <t>أكبر خطر تسويقي</t>
  </si>
  <si>
    <t>خطة الطوارئ</t>
  </si>
  <si>
    <t>نموذج دراسة الجدوى الاقتصادية</t>
  </si>
  <si>
    <t>معلومات المشروع الأساسية</t>
  </si>
  <si>
    <t>اسم المشروع</t>
  </si>
  <si>
    <t>تاريخ الدراسة</t>
  </si>
  <si>
    <t>اسم المُعِدّ</t>
  </si>
  <si>
    <t>القطاع</t>
  </si>
  <si>
    <t>أولاً: تكاليف الاستثمار (مرة واحدة)</t>
  </si>
  <si>
    <t>البند</t>
  </si>
  <si>
    <t>المبلغ (ريال)</t>
  </si>
  <si>
    <t>الملاحظات</t>
  </si>
  <si>
    <t>تجهيز وتأثيث المقر</t>
  </si>
  <si>
    <t>المعدات والأجهزة</t>
  </si>
  <si>
    <t>تطوير الموقع والأنظمة</t>
  </si>
  <si>
    <t>رأس المال العامل الأولي</t>
  </si>
  <si>
    <t>رسوم التسجيل والتراخيص</t>
  </si>
  <si>
    <t>أخرى</t>
  </si>
  <si>
    <t>إجمالي تكاليف الاستثمار</t>
  </si>
  <si>
    <t>ثانياً: التكاليف التشغيلية الشهرية</t>
  </si>
  <si>
    <t>شهري (ريال)</t>
  </si>
  <si>
    <t>سنوي (ريال)</t>
  </si>
  <si>
    <t>الرواتب والأجور</t>
  </si>
  <si>
    <t>الإيجار</t>
  </si>
  <si>
    <t>الكهرباء والمياه</t>
  </si>
  <si>
    <t>الاتصالات والإنترنت</t>
  </si>
  <si>
    <t>التسويق والإعلان</t>
  </si>
  <si>
    <t>مستلزمات ومواد</t>
  </si>
  <si>
    <t>صيانة وخدمات</t>
  </si>
  <si>
    <t>مصاريف إدارية أخرى</t>
  </si>
  <si>
    <t>إجمالي التكاليف التشغيلية</t>
  </si>
  <si>
    <t>ثالثاً: توقعات الإيرادات</t>
  </si>
  <si>
    <t>مصدر الإيراد</t>
  </si>
  <si>
    <t>المنتج/الخدمة الأولى</t>
  </si>
  <si>
    <t>المنتج/الخدمة الثانية</t>
  </si>
  <si>
    <t>المنتج/الخدمة الثالثة</t>
  </si>
  <si>
    <t>إيرادات أخرى</t>
  </si>
  <si>
    <t>إجمالي الإيرادات المتوقعة</t>
  </si>
  <si>
    <t>ملخص الجدوى</t>
  </si>
  <si>
    <t>صافي الربح الشهري المتوقع (ريال)</t>
  </si>
  <si>
    <t>صافي الربح السنوي المتوقع (ريال)</t>
  </si>
  <si>
    <t>هامش الربح الصافي %</t>
  </si>
  <si>
    <t>فترة الاسترداد (بالأشهر)</t>
  </si>
  <si>
    <t>نقطة التعادل الشهرية (ريال)</t>
  </si>
  <si>
    <t>تقييم الجدوى</t>
  </si>
  <si>
    <t>🔑 دليل الألوان:</t>
  </si>
  <si>
    <t xml:space="preserve">  خلايا الإدخال – أدخل بياناتك</t>
  </si>
  <si>
    <t xml:space="preserve">  خلايا محسوبة – لا تعدّل</t>
  </si>
  <si>
    <t xml:space="preserve">  نتائج رئيسية</t>
  </si>
  <si>
    <t xml:space="preserve">  تحذير / قيمة سلبية</t>
  </si>
  <si>
    <t>نماذج إدارة الموارد البشرية</t>
  </si>
  <si>
    <t>نموذج توصيف الوظيفة</t>
  </si>
  <si>
    <t>المسمى الوظيفي</t>
  </si>
  <si>
    <t>القسم / الإدارة</t>
  </si>
  <si>
    <t>المدير المباشر</t>
  </si>
  <si>
    <t>طبيعة الوظيفة</t>
  </si>
  <si>
    <t>دوام كامل / جزئي / عن بعد</t>
  </si>
  <si>
    <t>الراتب (ريال)</t>
  </si>
  <si>
    <t>المؤهل المطلوب</t>
  </si>
  <si>
    <t>سنوات الخبرة</t>
  </si>
  <si>
    <t>المهام والمسؤوليات الرئيسية (اذكر 5 على الأقل)</t>
  </si>
  <si>
    <t>المهارات المطلوبة</t>
  </si>
  <si>
    <t>متطلبات اللغة</t>
  </si>
  <si>
    <t>المزايا والبدلات</t>
  </si>
  <si>
    <t>آخر موعد للتقديم</t>
  </si>
  <si>
    <t>نموذج تقييم الأداء السنوي</t>
  </si>
  <si>
    <t>اسم الموظف</t>
  </si>
  <si>
    <t>القسم</t>
  </si>
  <si>
    <t>فترة التقييم</t>
  </si>
  <si>
    <t>معيار التقييم</t>
  </si>
  <si>
    <t>الوزن %</t>
  </si>
  <si>
    <t>الدرجة (1-5)</t>
  </si>
  <si>
    <t>الدرجة الموزونة</t>
  </si>
  <si>
    <t>ملاحظات</t>
  </si>
  <si>
    <t>جودة العمل والدقة</t>
  </si>
  <si>
    <t>الإنتاجية وإنجاز المهام</t>
  </si>
  <si>
    <t>الالتزام والحضور</t>
  </si>
  <si>
    <t>العمل الجماعي والتعاون</t>
  </si>
  <si>
    <t>المبادرة والإبداع</t>
  </si>
  <si>
    <t>مهارات التواصل</t>
  </si>
  <si>
    <t>تطوير الذات والتعلم</t>
  </si>
  <si>
    <t>إجمالي درجة التقييم</t>
  </si>
  <si>
    <t>إجمالي الأوزان</t>
  </si>
  <si>
    <t>مقياس التقييم: 5=ممتاز | 4=جيد جداً | 3=جيد | 2=مقبول | 1=يحتاج تطوير</t>
  </si>
  <si>
    <t>جدول الرواتب والدرجات الوظيفية (نموذج)</t>
  </si>
  <si>
    <t>المستوى</t>
  </si>
  <si>
    <t>المسمى</t>
  </si>
  <si>
    <t>الراتب الأساسي (ريال)</t>
  </si>
  <si>
    <t>بدل السكن (ريال)</t>
  </si>
  <si>
    <t>بدل المواصلات (ريال)</t>
  </si>
  <si>
    <t>الإجمالي (ريال)</t>
  </si>
  <si>
    <t>1</t>
  </si>
  <si>
    <t>موظف مبتدئ</t>
  </si>
  <si>
    <t>2</t>
  </si>
  <si>
    <t>موظف</t>
  </si>
  <si>
    <t>3</t>
  </si>
  <si>
    <t>موظف أول</t>
  </si>
  <si>
    <t>4</t>
  </si>
  <si>
    <t>مشرف</t>
  </si>
  <si>
    <t>5</t>
  </si>
  <si>
    <t>مدير قسم</t>
  </si>
  <si>
    <t>6</t>
  </si>
  <si>
    <t>مدير</t>
  </si>
  <si>
    <t>قالب عقد العمل – متوافق مع نظام العمل السعودي</t>
  </si>
  <si>
    <t>⚠️ هذا نموذج استرشادي – يُنصح بمراجعة محامٍ قبل الاستخدام الرسمي</t>
  </si>
  <si>
    <t>بيانات صاحب العمل</t>
  </si>
  <si>
    <t>اسم المنشأة</t>
  </si>
  <si>
    <t>رقم السجل التجاري</t>
  </si>
  <si>
    <t>عنوان المنشأة</t>
  </si>
  <si>
    <t>رقم التواصل</t>
  </si>
  <si>
    <t>بيانات العامل</t>
  </si>
  <si>
    <t>الاسم الكامل</t>
  </si>
  <si>
    <t>رقم الهوية / الإقامة</t>
  </si>
  <si>
    <t>الجنسية</t>
  </si>
  <si>
    <t>تاريخ الميلاد</t>
  </si>
  <si>
    <t>المؤهل العلمي</t>
  </si>
  <si>
    <t>عنوان السكن</t>
  </si>
  <si>
    <t>بنود العقد</t>
  </si>
  <si>
    <t>تاريخ بدء العمل</t>
  </si>
  <si>
    <t>نوع العقد</t>
  </si>
  <si>
    <t>محدد المدة / غير محدد</t>
  </si>
  <si>
    <t>مدة العقد (إن كان محدد المدة)</t>
  </si>
  <si>
    <t>الراتب الأساسي الشهري (ريال)</t>
  </si>
  <si>
    <t>بدلات أخرى (ريال)</t>
  </si>
  <si>
    <t>ساعات العمل اليومية</t>
  </si>
  <si>
    <t>8 ساعات</t>
  </si>
  <si>
    <t>أيام العمل الأسبوعية</t>
  </si>
  <si>
    <t>5 أيام</t>
  </si>
  <si>
    <t>الإجازة السنوية (يوم)</t>
  </si>
  <si>
    <t>21</t>
  </si>
  <si>
    <t>فترة الاختبار (شهر)</t>
  </si>
  <si>
    <t>مكان العمل</t>
  </si>
  <si>
    <t>الالتزامات والحقوق</t>
  </si>
  <si>
    <t>سرية المعلومات</t>
  </si>
  <si>
    <t>يلتزم الموظف بعدم إفشاء أسرار الشركة</t>
  </si>
  <si>
    <t>عدم المنافسة</t>
  </si>
  <si>
    <t>التأمين الصحي</t>
  </si>
  <si>
    <t>توفره المنشأة وفق الأنظمة</t>
  </si>
  <si>
    <t>التأمينات الاجتماعية</t>
  </si>
  <si>
    <t>وفق نظام التأمينات الاجتماعية السعودي</t>
  </si>
  <si>
    <t>إنهاء العقد</t>
  </si>
  <si>
    <t>30 يوم إشعار مسبق من الطرفين</t>
  </si>
  <si>
    <t>التوقيعات</t>
  </si>
  <si>
    <t>توقيع وختم صاحب العمل
_____________________</t>
  </si>
  <si>
    <t>توقيع العامل
_____________________</t>
  </si>
  <si>
    <t>لوحة مؤشرات الأداء الرئيسية للمشروع</t>
  </si>
  <si>
    <t>المؤشر</t>
  </si>
  <si>
    <t>الهدف الشهري</t>
  </si>
  <si>
    <t>يناير</t>
  </si>
  <si>
    <t>فبراير</t>
  </si>
  <si>
    <t>مارس</t>
  </si>
  <si>
    <t>أبريل</t>
  </si>
  <si>
    <t>مايو</t>
  </si>
  <si>
    <t>يونيو</t>
  </si>
  <si>
    <t>مؤشرات المبيعات والإيراد</t>
  </si>
  <si>
    <t>إجمالي الإيرادات (ريال)</t>
  </si>
  <si>
    <t>عدد العملاء الجدد</t>
  </si>
  <si>
    <t>متوسط قيمة الصفقة (ريال)</t>
  </si>
  <si>
    <t>معدل تحويل العملاء %</t>
  </si>
  <si>
    <t>مؤشرات العمليات</t>
  </si>
  <si>
    <t>معدل رضا العملاء (1-10)</t>
  </si>
  <si>
    <t>وقت تسليم الطلبات (يوم)</t>
  </si>
  <si>
    <t>معدل إرجاع المنتجات %</t>
  </si>
  <si>
    <t>نسبة الطاقة الإنتاجية %</t>
  </si>
  <si>
    <t>مؤشرات الموارد البشرية</t>
  </si>
  <si>
    <t>معدل دوران الموظفين %</t>
  </si>
  <si>
    <t>متوسط أيام الغياب</t>
  </si>
  <si>
    <t>نسبة تحقيق الأهداف %</t>
  </si>
  <si>
    <t>مؤشرات مالية</t>
  </si>
  <si>
    <t>هامش الربح الإجمالي %</t>
  </si>
  <si>
    <t>نسبة المصاريف للإيراد %</t>
  </si>
  <si>
    <t>التدفق النقدي الصافي (ريال)</t>
  </si>
  <si>
    <t>الخطة التشغيلية والجدول الزمني للمشروع</t>
  </si>
  <si>
    <t>المهمة / النشاط</t>
  </si>
  <si>
    <t>المسؤول</t>
  </si>
  <si>
    <t>الأولوية</t>
  </si>
  <si>
    <t>يوليو</t>
  </si>
  <si>
    <t>أغسطس</t>
  </si>
  <si>
    <t>سبتمبر</t>
  </si>
  <si>
    <t>أكتوبر</t>
  </si>
  <si>
    <t>نوفمبر</t>
  </si>
  <si>
    <t>ديسمبر</t>
  </si>
  <si>
    <t>مرحلة التأسيس (الأشهر 1-2)</t>
  </si>
  <si>
    <t>تسجيل المنشأة والحصول على التراخيص</t>
  </si>
  <si>
    <t>المدير</t>
  </si>
  <si>
    <t>عالية</t>
  </si>
  <si>
    <t>تأجير وتجهيز المقر</t>
  </si>
  <si>
    <t>توظيف الكادر الأساسي</t>
  </si>
  <si>
    <t>HR</t>
  </si>
  <si>
    <t>إعداد الأنظمة والبنية التحتية</t>
  </si>
  <si>
    <t>IT</t>
  </si>
  <si>
    <t>مرحلة الإطلاق (الأشهر 3-4)</t>
  </si>
  <si>
    <t>إطلاق الموقع والتسويق الرقمي</t>
  </si>
  <si>
    <t>التسويق</t>
  </si>
  <si>
    <t>أول حملة إعلانية</t>
  </si>
  <si>
    <t>متوسطة</t>
  </si>
  <si>
    <t>استقبال أول دفعة عملاء</t>
  </si>
  <si>
    <t>المبيعات</t>
  </si>
  <si>
    <t>تقييم أولي وتعديل العمليات</t>
  </si>
  <si>
    <t>الإدارة</t>
  </si>
  <si>
    <t>مرحلة النمو (الأشهر 5-12)</t>
  </si>
  <si>
    <t>توسيع قاعدة العملاء</t>
  </si>
  <si>
    <t>تطوير المنتجات/الخدمات</t>
  </si>
  <si>
    <t>R&amp;D</t>
  </si>
  <si>
    <t>مراجعة الأداء ربع سنوية</t>
  </si>
  <si>
    <t>تخطيط السنة الثانية</t>
  </si>
  <si>
    <t>💡 ضع علامة ✅ في خلية الشهر عند اكتمال المهمة، أو 🔄 للجاري، أو ❌ للمتأخر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</si>
</sst>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%"/>
    <numFmt numFmtId="165" formatCode="0.0"/>
  </numFmts>
  <fonts count="23" x14ac:knownFonts="1">
    <font>
      <sz val="11"/>
      <color theme="1"/>
      <name val="Calibri"/>
      <family val="2"/>
      <charset val="1"/>
    </font>
    <font>
      <b/>
      <sz val="22"/>
      <color rgb="FFFFFFFF"/>
      <name val="Arial"/>
      <charset val="1"/>
    </font>
    <font>
      <sz val="11"/>
      <color rgb="FFC9A84C"/>
      <name val="Arial"/>
      <charset val="1"/>
    </font>
    <font>
      <b/>
      <sz val="10"/>
      <color rgb="FFFFFFFF"/>
      <name val="Arial"/>
      <charset val="1"/>
    </font>
    <font>
      <sz val="9"/>
      <color rgb="FF1F3864"/>
      <name val="Arial"/>
      <charset val="1"/>
    </font>
    <font>
      <b/>
      <sz val="14"/>
      <color rgb="FFFFFFFF"/>
      <name val="Arial"/>
      <charset val="1"/>
    </font>
    <font>
      <b/>
      <sz val="11"/>
      <color rgb="FFFFFFFF"/>
      <name val="Arial"/>
      <charset val="1"/>
    </font>
    <font>
      <b/>
      <sz val="10"/>
      <color rgb="FF1F3864"/>
      <name val="Arial"/>
      <charset val="1"/>
    </font>
    <font>
      <sz val="10"/>
      <color rgb="FF0000FF"/>
      <name val="Arial"/>
      <charset val="1"/>
    </font>
    <font>
      <sz val="10"/>
      <color rgb="FF000000"/>
      <name val="Arial"/>
      <charset val="1"/>
    </font>
    <font>
      <b/>
      <sz val="9"/>
      <color rgb="FFFFFFFF"/>
      <name val="Arial"/>
      <charset val="1"/>
    </font>
    <font>
      <b/>
      <sz val="10"/>
      <color rgb="FF375623"/>
      <name val="Arial"/>
      <charset val="1"/>
    </font>
    <font>
      <b/>
      <sz val="9"/>
      <color rgb="FF1F3864"/>
      <name val="Arial"/>
      <charset val="1"/>
    </font>
    <font>
      <sz val="8"/>
      <color rgb="FF0000FF"/>
      <name val="Arial"/>
      <charset val="1"/>
    </font>
    <font>
      <sz val="8"/>
      <color rgb="FF000000"/>
      <name val="Arial"/>
      <charset val="1"/>
    </font>
    <font>
      <sz val="8"/>
      <color rgb="FF375623"/>
      <name val="Arial"/>
      <charset val="1"/>
    </font>
    <font>
      <sz val="8"/>
      <color rgb="FF7B0000"/>
      <name val="Arial"/>
      <charset val="1"/>
    </font>
    <font>
      <b/>
      <sz val="13"/>
      <color rgb="FFFFFFFF"/>
      <name val="Arial"/>
      <charset val="1"/>
    </font>
    <font>
      <b/>
      <sz val="9"/>
      <color rgb="FF7B0000"/>
      <name val="Arial"/>
      <charset val="1"/>
    </font>
    <font>
      <sz val="10"/>
      <color rgb="FF1F3864"/>
      <name val="Arial"/>
      <charset val="1"/>
    </font>
    <font>
      <b/>
      <sz val="8"/>
      <color rgb="FFFFFFFF"/>
      <name val="Arial"/>
      <charset val="1"/>
    </font>
    <font>
      <b/>
      <sz val="9"/>
      <color rgb="FFC9A84C"/>
      <name val="Arial"/>
      <charset val="1"/>
    </font>
    <font>
      <i/>
      <sz val="9"/>
      <color rgb="FF2E5FA3"/>
      <name val="Arial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99"/>
      </patternFill>
    </fill>
    <fill>
      <patternFill patternType="solid">
        <fgColor rgb="FFC9A84C"/>
        <bgColor rgb="FFFF9900"/>
      </patternFill>
    </fill>
    <fill>
      <patternFill patternType="solid">
        <fgColor rgb="FF2E5FA3"/>
        <bgColor rgb="FF3366FF"/>
      </patternFill>
    </fill>
    <fill>
      <patternFill patternType="solid">
        <fgColor rgb="FFDEEAF1"/>
        <bgColor rgb="FFE2EFDA"/>
      </patternFill>
    </fill>
    <fill>
      <patternFill patternType="solid">
        <fgColor rgb="FFFFFFFF"/>
        <bgColor rgb="FFF2F2F2"/>
      </patternFill>
    </fill>
    <fill>
      <patternFill patternType="solid">
        <fgColor rgb="FFE2EFDA"/>
        <bgColor rgb="FFDEEAF1"/>
      </patternFill>
    </fill>
    <fill>
      <patternFill patternType="solid">
        <fgColor rgb="FFF2F2F2"/>
        <bgColor rgb="FFE2EFDA"/>
      </patternFill>
    </fill>
    <fill>
      <patternFill patternType="solid">
        <fgColor rgb="FFFCE4D6"/>
        <bgColor rgb="FFF2F2F2"/>
      </patternFill>
    </fill>
  </fills>
  <borders count="5">
    <border>
      <left/>
      <right/>
      <top/>
      <bottom/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medium">
        <color rgb="FF1F3864"/>
      </left>
      <right style="medium">
        <color rgb="FF1F3864"/>
      </right>
      <top style="medium">
        <color rgb="FF1F3864"/>
      </top>
      <bottom style="medium">
        <color rgb="FF1F3864"/>
      </bottom>
      <diagonal/>
    </border>
    <border>
      <left style="medium">
        <color rgb="FF1F3864"/>
      </left>
      <right/>
      <top style="medium">
        <color rgb="FF1F3864"/>
      </top>
      <bottom/>
      <diagonal/>
    </border>
  </borders>
  <cellStyleXfs count="1">
    <xf numFmtId="0" fontId="0" fillId="0" borderId="0"/>
  </cellStyleXfs>
  <cellXfs count="63">
    <xf numFmtId="0" fontId="0" fillId="0" borderId="0" xfId="0"/>
    <xf numFmtId="0" fontId="18" fillId="9" borderId="1" xfId="0" applyFont="1" applyFill="1" applyBorder="1" applyAlignment="1">
      <alignment horizontal="center" vertical="center" wrapText="1"/>
    </xf>
    <xf numFmtId="0" fontId="17" fillId="2" borderId="1" xfId="0" applyFont="1" applyFill="1" applyBorder="1" applyAlignment="1">
      <alignment horizontal="center" vertical="center" wrapText="1"/>
    </xf>
    <xf numFmtId="0" fontId="6" fillId="2" borderId="2" xfId="0" applyFont="1" applyFill="1" applyBorder="1" applyAlignment="1">
      <alignment horizontal="center" vertical="center" wrapText="1"/>
    </xf>
    <xf numFmtId="0" fontId="9" fillId="6" borderId="1" xfId="0" applyFont="1" applyFill="1" applyBorder="1" applyAlignment="1">
      <alignment horizontal="left" vertical="center" wrapText="1"/>
    </xf>
    <xf numFmtId="0" fontId="8" fillId="6" borderId="1" xfId="0" applyFont="1" applyFill="1" applyBorder="1" applyAlignment="1">
      <alignment horizontal="left" vertical="center" wrapText="1"/>
    </xf>
    <xf numFmtId="0" fontId="6" fillId="4" borderId="2" xfId="0" applyFont="1" applyFill="1" applyBorder="1" applyAlignment="1">
      <alignment horizontal="center" vertical="center" wrapText="1"/>
    </xf>
    <xf numFmtId="0" fontId="5" fillId="2" borderId="1" xfId="0" applyFont="1" applyFill="1" applyBorder="1" applyAlignment="1">
      <alignment horizontal="center" vertical="center" wrapText="1"/>
    </xf>
    <xf numFmtId="0" fontId="4" fillId="5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center" vertical="center" wrapText="1"/>
    </xf>
    <xf numFmtId="0" fontId="2" fillId="2" borderId="0" xfId="0" applyFont="1" applyFill="1" applyAlignment="1">
      <alignment horizontal="center" vertical="center" wrapText="1"/>
    </xf>
    <xf numFmtId="0" fontId="1" fillId="2" borderId="0" xfId="0" applyFont="1" applyFill="1" applyAlignment="1">
      <alignment horizontal="center" vertical="center" wrapText="1"/>
    </xf>
    <xf numFmtId="0" fontId="0" fillId="3" borderId="0" xfId="0" applyFill="1"/>
    <xf numFmtId="0" fontId="7" fillId="5" borderId="2" xfId="0" applyFont="1" applyFill="1" applyBorder="1" applyAlignment="1">
      <alignment horizontal="left" vertical="center" wrapText="1"/>
    </xf>
    <xf numFmtId="0" fontId="9" fillId="6" borderId="2" xfId="0" applyFont="1" applyFill="1" applyBorder="1" applyAlignment="1">
      <alignment horizontal="left" vertical="center" wrapText="1"/>
    </xf>
    <xf numFmtId="0" fontId="10" fillId="2" borderId="2" xfId="0" applyFont="1" applyFill="1" applyBorder="1" applyAlignment="1">
      <alignment horizontal="center" vertical="center" wrapText="1"/>
    </xf>
    <xf numFmtId="3" fontId="8" fillId="5" borderId="2" xfId="0" applyNumberFormat="1" applyFont="1" applyFill="1" applyBorder="1" applyAlignment="1">
      <alignment horizontal="right" vertical="center"/>
    </xf>
    <xf numFmtId="0" fontId="12" fillId="0" borderId="0" xfId="0" applyFont="1"/>
    <xf numFmtId="0" fontId="13" fillId="5" borderId="2" xfId="0" applyFont="1" applyFill="1" applyBorder="1"/>
    <xf numFmtId="0" fontId="14" fillId="8" borderId="2" xfId="0" applyFont="1" applyFill="1" applyBorder="1"/>
    <xf numFmtId="0" fontId="15" fillId="7" borderId="2" xfId="0" applyFont="1" applyFill="1" applyBorder="1"/>
    <xf numFmtId="0" fontId="16" fillId="9" borderId="2" xfId="0" applyFont="1" applyFill="1" applyBorder="1"/>
    <xf numFmtId="49" fontId="8" fillId="5" borderId="2" xfId="0" applyNumberFormat="1" applyFont="1" applyFill="1" applyBorder="1" applyAlignment="1">
      <alignment horizontal="right" vertical="center"/>
    </xf>
    <xf numFmtId="0" fontId="10" fillId="4" borderId="2" xfId="0" applyFont="1" applyFill="1" applyBorder="1" applyAlignment="1">
      <alignment horizontal="center" vertical="center" wrapText="1"/>
    </xf>
    <xf numFmtId="164" fontId="8" fillId="5" borderId="2" xfId="0" applyNumberFormat="1" applyFont="1" applyFill="1" applyBorder="1" applyAlignment="1">
      <alignment horizontal="right" vertical="center"/>
    </xf>
    <xf numFmtId="165" fontId="8" fillId="5" borderId="2" xfId="0" applyNumberFormat="1" applyFont="1" applyFill="1" applyBorder="1" applyAlignment="1">
      <alignment horizontal="right" vertical="center"/>
    </xf>
    <xf numFmtId="0" fontId="20" fillId="4" borderId="2" xfId="0" applyFont="1" applyFill="1" applyBorder="1" applyAlignment="1">
      <alignment horizontal="center" vertical="center" wrapText="1"/>
    </xf>
    <xf numFmtId="0" fontId="18" fillId="9" borderId="2" xfId="0" applyFont="1" applyFill="1" applyBorder="1" applyAlignment="1">
      <alignment horizontal="center" vertical="center" wrapText="1"/>
    </xf>
    <xf numFmtId="0" fontId="0" fillId="6" borderId="2" xfId="0" applyFill="1" applyBorder="1" applyAlignment="1">
      <alignment horizontal="center" vertical="center" wrapText="1"/>
    </xf>
    <xf numFmtId="0" fontId="21" fillId="6" borderId="2" xfId="0" applyFont="1" applyFill="1" applyBorder="1" applyAlignment="1">
      <alignment horizontal="center" vertical="center" wrapText="1"/>
    </xf>
    <xf numFmtId="0" fontId="19" fillId="0" borderId="4" xfId="0" applyFont="1" applyBorder="1" applyAlignment="1">
      <alignment horizontal="center" vertical="center" wrapText="1"/>
    </xf>
    <xf numFmtId="0" fontId="22" fillId="5" borderId="1" xfId="0" applyFont="1" applyFill="1" applyBorder="1" applyAlignment="1">
      <alignment horizontal="left" vertical="center" wrapText="1"/>
    </xf>
    <xf numFmtId="0" fontId="5" fillId="2" borderId="1" xfId="0" applyFont="1" applyFill="1" applyBorder="1" applyAlignment="1" applyProtection="1">
      <alignment horizontal="center" vertical="center" wrapText="1"/>
      <protection locked="0"/>
    </xf>
    <xf numFmtId="0" fontId="0" fillId="0" borderId="0" xfId="0" applyProtection="1">
      <protection locked="0"/>
    </xf>
    <xf numFmtId="0" fontId="6" fillId="4" borderId="2" xfId="0" applyFont="1" applyFill="1" applyBorder="1" applyAlignment="1" applyProtection="1">
      <alignment horizontal="center" vertical="center" wrapText="1"/>
      <protection locked="0"/>
    </xf>
    <xf numFmtId="0" fontId="9" fillId="6" borderId="2" xfId="0" applyFont="1" applyFill="1" applyBorder="1" applyAlignment="1" applyProtection="1">
      <alignment horizontal="left" vertical="center" wrapText="1"/>
      <protection locked="0"/>
    </xf>
    <xf numFmtId="0" fontId="8" fillId="5" borderId="1" xfId="0" applyFont="1" applyFill="1" applyBorder="1" applyAlignment="1" applyProtection="1">
      <alignment horizontal="left" vertical="center" wrapText="1"/>
      <protection locked="0"/>
    </xf>
    <xf numFmtId="0" fontId="10" fillId="2" borderId="2" xfId="0" applyFont="1" applyFill="1" applyBorder="1" applyAlignment="1" applyProtection="1">
      <alignment horizontal="center" vertical="center" wrapText="1"/>
      <protection locked="0"/>
    </xf>
    <xf numFmtId="0" fontId="10" fillId="2" borderId="2" xfId="0" applyFont="1" applyFill="1" applyBorder="1" applyAlignment="1" applyProtection="1">
      <alignment horizontal="center" vertical="center" wrapText="1"/>
      <protection locked="0"/>
    </xf>
    <xf numFmtId="3" fontId="8" fillId="5" borderId="2" xfId="0" applyNumberFormat="1" applyFont="1" applyFill="1" applyBorder="1" applyAlignment="1" applyProtection="1">
      <alignment horizontal="right" vertical="center"/>
      <protection locked="0"/>
    </xf>
    <xf numFmtId="0" fontId="9" fillId="6" borderId="1" xfId="0" applyFont="1" applyFill="1" applyBorder="1" applyAlignment="1" applyProtection="1">
      <alignment horizontal="left" vertical="center" wrapText="1"/>
      <protection locked="0"/>
    </xf>
    <xf numFmtId="0" fontId="3" fillId="4" borderId="2" xfId="0" applyFont="1" applyFill="1" applyBorder="1" applyAlignment="1" applyProtection="1">
      <alignment horizontal="center" vertical="center" wrapText="1"/>
      <protection locked="0"/>
    </xf>
    <xf numFmtId="0" fontId="6" fillId="2" borderId="2" xfId="0" applyFont="1" applyFill="1" applyBorder="1" applyAlignment="1" applyProtection="1">
      <alignment horizontal="center" vertical="center" wrapText="1"/>
      <protection locked="0"/>
    </xf>
    <xf numFmtId="0" fontId="12" fillId="0" borderId="0" xfId="0" applyFont="1" applyProtection="1">
      <protection locked="0"/>
    </xf>
    <xf numFmtId="0" fontId="13" fillId="5" borderId="2" xfId="0" applyFont="1" applyFill="1" applyBorder="1" applyProtection="1">
      <protection locked="0"/>
    </xf>
    <xf numFmtId="0" fontId="14" fillId="8" borderId="2" xfId="0" applyFont="1" applyFill="1" applyBorder="1" applyProtection="1">
      <protection locked="0"/>
    </xf>
    <xf numFmtId="0" fontId="15" fillId="7" borderId="2" xfId="0" applyFont="1" applyFill="1" applyBorder="1" applyProtection="1">
      <protection locked="0"/>
    </xf>
    <xf numFmtId="0" fontId="16" fillId="9" borderId="2" xfId="0" applyFont="1" applyFill="1" applyBorder="1" applyProtection="1">
      <protection locked="0"/>
    </xf>
    <xf numFmtId="4" fontId="11" fillId="7" borderId="3" xfId="0" applyNumberFormat="1" applyFont="1" applyFill="1" applyBorder="1" applyAlignment="1" applyProtection="1">
      <alignment horizontal="right" vertical="center"/>
      <protection locked="0" hidden="1"/>
    </xf>
    <xf numFmtId="3" fontId="9" fillId="8" borderId="2" xfId="0" applyNumberFormat="1" applyFont="1" applyFill="1" applyBorder="1" applyAlignment="1" applyProtection="1">
      <alignment horizontal="right" vertical="center"/>
      <protection locked="0" hidden="1"/>
    </xf>
    <xf numFmtId="3" fontId="11" fillId="7" borderId="3" xfId="0" applyNumberFormat="1" applyFont="1" applyFill="1" applyBorder="1" applyAlignment="1" applyProtection="1">
      <alignment horizontal="right" vertical="center"/>
      <protection locked="0" hidden="1"/>
    </xf>
    <xf numFmtId="0" fontId="0" fillId="0" borderId="0" xfId="0" applyProtection="1">
      <protection locked="0" hidden="1"/>
    </xf>
    <xf numFmtId="164" fontId="11" fillId="7" borderId="3" xfId="0" applyNumberFormat="1" applyFont="1" applyFill="1" applyBorder="1" applyAlignment="1" applyProtection="1">
      <alignment horizontal="right" vertical="center"/>
      <protection locked="0" hidden="1"/>
    </xf>
    <xf numFmtId="0" fontId="7" fillId="7" borderId="3" xfId="0" applyFont="1" applyFill="1" applyBorder="1" applyAlignment="1" applyProtection="1">
      <alignment horizontal="left" vertical="center" wrapText="1"/>
      <protection locked="0" hidden="1"/>
    </xf>
    <xf numFmtId="0" fontId="7" fillId="5" borderId="2" xfId="0" applyFont="1" applyFill="1" applyBorder="1" applyAlignment="1" applyProtection="1">
      <alignment horizontal="left" vertical="center" wrapText="1"/>
      <protection locked="0"/>
    </xf>
    <xf numFmtId="0" fontId="8" fillId="6" borderId="1" xfId="0" applyFont="1" applyFill="1" applyBorder="1" applyAlignment="1" applyProtection="1">
      <alignment horizontal="left" vertical="center" wrapText="1"/>
      <protection locked="0"/>
    </xf>
    <xf numFmtId="49" fontId="8" fillId="5" borderId="2" xfId="0" applyNumberFormat="1" applyFont="1" applyFill="1" applyBorder="1" applyAlignment="1" applyProtection="1">
      <alignment horizontal="right" vertical="center"/>
      <protection locked="0"/>
    </xf>
    <xf numFmtId="9" fontId="8" fillId="5" borderId="2" xfId="0" applyNumberFormat="1" applyFont="1" applyFill="1" applyBorder="1" applyAlignment="1" applyProtection="1">
      <alignment horizontal="right" vertical="center"/>
      <protection locked="0"/>
    </xf>
    <xf numFmtId="1" fontId="8" fillId="5" borderId="2" xfId="0" applyNumberFormat="1" applyFont="1" applyFill="1" applyBorder="1" applyAlignment="1" applyProtection="1">
      <alignment horizontal="right" vertical="center"/>
      <protection locked="0"/>
    </xf>
    <xf numFmtId="0" fontId="10" fillId="4" borderId="2" xfId="0" applyFont="1" applyFill="1" applyBorder="1" applyAlignment="1" applyProtection="1">
      <alignment horizontal="center" vertical="center" wrapText="1"/>
      <protection locked="0"/>
    </xf>
    <xf numFmtId="0" fontId="4" fillId="5" borderId="1" xfId="0" applyFont="1" applyFill="1" applyBorder="1" applyAlignment="1" applyProtection="1">
      <alignment horizontal="center" vertical="center" wrapText="1"/>
      <protection locked="0"/>
    </xf>
    <xf numFmtId="2" fontId="9" fillId="8" borderId="2" xfId="0" applyNumberFormat="1" applyFont="1" applyFill="1" applyBorder="1" applyAlignment="1" applyProtection="1">
      <alignment horizontal="right" vertical="center"/>
      <protection locked="0" hidden="1"/>
    </xf>
    <xf numFmtId="2" fontId="11" fillId="7" borderId="3" xfId="0" applyNumberFormat="1" applyFont="1" applyFill="1" applyBorder="1" applyAlignment="1" applyProtection="1">
      <alignment horizontal="right" vertical="center"/>
      <protection locked="0" hidden="1"/>
    </xf>
  </cellXfs>
  <cellStyles count="1">
    <cellStyle name="عادي" xfId="0" builtinId="0"/>
  </cellStyles>
  <dxfs count="0"/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7B0000"/>
      <rgbColor rgb="FF008000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2F2F2"/>
      <rgbColor rgb="FFDEEAF1"/>
      <rgbColor rgb="FF660066"/>
      <rgbColor rgb="FFFF8080"/>
      <rgbColor rgb="FF2E5FA3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E2EFDA"/>
      <rgbColor rgb="FFFFFF99"/>
      <rgbColor rgb="FF99CCFF"/>
      <rgbColor rgb="FFFF99CC"/>
      <rgbColor rgb="FFCC99FF"/>
      <rgbColor rgb="FFFCE4D6"/>
      <rgbColor rgb="FF3366FF"/>
      <rgbColor rgb="FF33CCCC"/>
      <rgbColor rgb="FF99CC00"/>
      <rgbColor rgb="FFFFCC00"/>
      <rgbColor rgb="FFFF9900"/>
      <rgbColor rgb="FFFF6600"/>
      <rgbColor rgb="FF666699"/>
      <rgbColor rgb="FFC9A84C"/>
      <rgbColor rgb="FF1F3864"/>
      <rgbColor rgb="FF339966"/>
      <rgbColor rgb="FF003300"/>
      <rgbColor rgb="FF333300"/>
      <rgbColor rgb="FF993300"/>
      <rgbColor rgb="FF993366"/>
      <rgbColor rgb="FF333399"/>
      <rgbColor rgb="FF37562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49"/>
  <sheetViews>
    <sheetView rightToLeft="1" tabSelected="1" zoomScaleNormal="100" workbookViewId="0">
      <selection sqref="A1:J4"/>
    </sheetView>
  </sheetViews>
  <sheetFormatPr defaultColWidth="8.6328125" defaultRowHeight="14.5" x14ac:dyDescent="0.35"/>
  <cols>
    <col min="1" max="10" width="8.453125" customWidth="1"/>
  </cols>
  <sheetData>
    <row r="1" spans="1:10" ht="25.5" customHeight="1" x14ac:dyDescent="0.35">
      <c r="A1" s="11" t="s">
        <v>0</v>
      </c>
      <c r="B1" s="11"/>
      <c r="C1" s="11"/>
      <c r="D1" s="11"/>
      <c r="E1" s="11"/>
      <c r="F1" s="11"/>
      <c r="G1" s="11"/>
      <c r="H1" s="11"/>
      <c r="I1" s="11"/>
      <c r="J1" s="11"/>
    </row>
    <row r="2" spans="1:10" ht="16.5" customHeight="1" x14ac:dyDescent="0.35">
      <c r="A2" s="11"/>
      <c r="B2" s="11"/>
      <c r="C2" s="11"/>
      <c r="D2" s="11"/>
      <c r="E2" s="11"/>
      <c r="F2" s="11"/>
      <c r="G2" s="11"/>
      <c r="H2" s="11"/>
      <c r="I2" s="11"/>
      <c r="J2" s="11"/>
    </row>
    <row r="3" spans="1:10" ht="16.5" customHeight="1" x14ac:dyDescent="0.35">
      <c r="A3" s="11"/>
      <c r="B3" s="11"/>
      <c r="C3" s="11"/>
      <c r="D3" s="11"/>
      <c r="E3" s="11"/>
      <c r="F3" s="11"/>
      <c r="G3" s="11"/>
      <c r="H3" s="11"/>
      <c r="I3" s="11"/>
      <c r="J3" s="11"/>
    </row>
    <row r="4" spans="1:10" ht="16.5" customHeight="1" x14ac:dyDescent="0.35">
      <c r="A4" s="11"/>
      <c r="B4" s="11"/>
      <c r="C4" s="11"/>
      <c r="D4" s="11"/>
      <c r="E4" s="11"/>
      <c r="F4" s="11"/>
      <c r="G4" s="11"/>
      <c r="H4" s="11"/>
      <c r="I4" s="11"/>
      <c r="J4" s="11"/>
    </row>
    <row r="5" spans="1:10" ht="16.5" customHeight="1" x14ac:dyDescent="0.35">
      <c r="A5" s="10" t="s">
        <v>1</v>
      </c>
      <c r="B5" s="10"/>
      <c r="C5" s="10"/>
      <c r="D5" s="10"/>
      <c r="E5" s="10"/>
      <c r="F5" s="10"/>
      <c r="G5" s="10"/>
      <c r="H5" s="10"/>
      <c r="I5" s="10"/>
      <c r="J5" s="10"/>
    </row>
    <row r="6" spans="1:10" ht="16.5" customHeight="1" x14ac:dyDescent="0.35">
      <c r="A6" s="10"/>
      <c r="B6" s="10"/>
      <c r="C6" s="10"/>
      <c r="D6" s="10"/>
      <c r="E6" s="10"/>
      <c r="F6" s="10"/>
      <c r="G6" s="10"/>
      <c r="H6" s="10"/>
      <c r="I6" s="10"/>
      <c r="J6" s="10"/>
    </row>
    <row r="7" spans="1:10" ht="3" customHeight="1" x14ac:dyDescent="0.35">
      <c r="A7" s="12"/>
      <c r="B7" s="12"/>
      <c r="C7" s="12"/>
      <c r="D7" s="12"/>
      <c r="E7" s="12"/>
      <c r="F7" s="12"/>
      <c r="G7" s="12"/>
      <c r="H7" s="12"/>
      <c r="I7" s="12"/>
      <c r="J7" s="12"/>
    </row>
    <row r="8" spans="1:10" ht="16.5" customHeight="1" x14ac:dyDescent="0.35"/>
    <row r="9" spans="1:10" ht="18.75" customHeight="1" x14ac:dyDescent="0.35">
      <c r="B9" s="9" t="s">
        <v>2</v>
      </c>
      <c r="C9" s="9"/>
      <c r="D9" s="9"/>
      <c r="E9" s="9" t="s">
        <v>3</v>
      </c>
      <c r="F9" s="9"/>
      <c r="G9" s="9"/>
      <c r="H9" s="9" t="s">
        <v>4</v>
      </c>
      <c r="I9" s="9"/>
      <c r="J9" s="9"/>
    </row>
    <row r="10" spans="1:10" ht="15" customHeight="1" x14ac:dyDescent="0.35">
      <c r="B10" s="8" t="s">
        <v>5</v>
      </c>
      <c r="C10" s="8"/>
      <c r="D10" s="8"/>
      <c r="E10" s="8" t="s">
        <v>6</v>
      </c>
      <c r="F10" s="8"/>
      <c r="G10" s="8"/>
      <c r="H10" s="8" t="s">
        <v>7</v>
      </c>
      <c r="I10" s="8"/>
      <c r="J10" s="8"/>
    </row>
    <row r="11" spans="1:10" ht="16.5" customHeight="1" x14ac:dyDescent="0.35"/>
    <row r="12" spans="1:10" ht="16.5" customHeight="1" x14ac:dyDescent="0.35"/>
    <row r="13" spans="1:10" ht="18.75" customHeight="1" x14ac:dyDescent="0.35">
      <c r="B13" s="9" t="s">
        <v>8</v>
      </c>
      <c r="C13" s="9"/>
      <c r="D13" s="9"/>
      <c r="E13" s="9" t="s">
        <v>9</v>
      </c>
      <c r="F13" s="9"/>
      <c r="G13" s="9"/>
      <c r="H13" s="9" t="s">
        <v>10</v>
      </c>
      <c r="I13" s="9"/>
      <c r="J13" s="9"/>
    </row>
    <row r="14" spans="1:10" ht="15" customHeight="1" x14ac:dyDescent="0.35">
      <c r="B14" s="8" t="s">
        <v>11</v>
      </c>
      <c r="C14" s="8"/>
      <c r="D14" s="8"/>
      <c r="E14" s="8" t="s">
        <v>12</v>
      </c>
      <c r="F14" s="8"/>
      <c r="G14" s="8"/>
      <c r="H14" s="8" t="s">
        <v>13</v>
      </c>
      <c r="I14" s="8"/>
      <c r="J14" s="8"/>
    </row>
    <row r="15" spans="1:10" ht="16.5" customHeight="1" x14ac:dyDescent="0.35"/>
    <row r="16" spans="1:10" ht="16.5" customHeight="1" x14ac:dyDescent="0.35"/>
    <row r="17" ht="16.5" customHeight="1" x14ac:dyDescent="0.35"/>
    <row r="18" ht="16.5" customHeight="1" x14ac:dyDescent="0.35"/>
    <row r="19" ht="16.5" customHeight="1" x14ac:dyDescent="0.35"/>
    <row r="20" ht="16.5" customHeight="1" x14ac:dyDescent="0.35"/>
    <row r="21" ht="16.5" customHeight="1" x14ac:dyDescent="0.35"/>
    <row r="22" ht="16.5" customHeight="1" x14ac:dyDescent="0.35"/>
    <row r="23" ht="16.5" customHeight="1" x14ac:dyDescent="0.35"/>
    <row r="24" ht="16.5" customHeight="1" x14ac:dyDescent="0.35"/>
    <row r="25" ht="16.5" customHeight="1" x14ac:dyDescent="0.35"/>
    <row r="26" ht="16.5" customHeight="1" x14ac:dyDescent="0.35"/>
    <row r="27" ht="16.5" customHeight="1" x14ac:dyDescent="0.35"/>
    <row r="28" ht="16.5" customHeight="1" x14ac:dyDescent="0.35"/>
    <row r="29" ht="16.5" customHeight="1" x14ac:dyDescent="0.35"/>
    <row r="30" ht="16.5" customHeight="1" x14ac:dyDescent="0.35"/>
    <row r="31" ht="16.5" customHeight="1" x14ac:dyDescent="0.35"/>
    <row r="32" ht="16.5" customHeight="1" x14ac:dyDescent="0.35"/>
    <row r="33" ht="16.5" customHeight="1" x14ac:dyDescent="0.35"/>
    <row r="34" ht="16.5" customHeight="1" x14ac:dyDescent="0.35"/>
    <row r="35" ht="16.5" customHeight="1" x14ac:dyDescent="0.35"/>
    <row r="36" ht="16.5" customHeight="1" x14ac:dyDescent="0.35"/>
    <row r="37" ht="16.5" customHeight="1" x14ac:dyDescent="0.35"/>
    <row r="38" ht="16.5" customHeight="1" x14ac:dyDescent="0.35"/>
    <row r="39" ht="16.5" customHeight="1" x14ac:dyDescent="0.35"/>
    <row r="40" ht="16.5" customHeight="1" x14ac:dyDescent="0.35"/>
    <row r="41" ht="16.5" customHeight="1" x14ac:dyDescent="0.35"/>
    <row r="42" ht="16.5" customHeight="1" x14ac:dyDescent="0.35"/>
    <row r="43" ht="16.5" customHeight="1" x14ac:dyDescent="0.35"/>
    <row r="44" ht="16.5" customHeight="1" x14ac:dyDescent="0.35"/>
    <row r="45" ht="16.5" customHeight="1" x14ac:dyDescent="0.35"/>
    <row r="46" ht="16.5" customHeight="1" x14ac:dyDescent="0.35"/>
    <row r="47" ht="16.5" customHeight="1" x14ac:dyDescent="0.35"/>
    <row r="48" ht="16.5" customHeight="1" x14ac:dyDescent="0.35"/>
    <row r="49" ht="16.5" customHeight="1" x14ac:dyDescent="0.35"/>
  </sheetData>
  <mergeCells count="14">
    <mergeCell ref="B14:D14"/>
    <mergeCell ref="E14:G14"/>
    <mergeCell ref="H14:J14"/>
    <mergeCell ref="B10:D10"/>
    <mergeCell ref="E10:G10"/>
    <mergeCell ref="H10:J10"/>
    <mergeCell ref="B13:D13"/>
    <mergeCell ref="E13:G13"/>
    <mergeCell ref="H13:J13"/>
    <mergeCell ref="A1:J4"/>
    <mergeCell ref="A5:J6"/>
    <mergeCell ref="B9:D9"/>
    <mergeCell ref="E9:G9"/>
    <mergeCell ref="H9:J9"/>
  </mergeCells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61"/>
  <sheetViews>
    <sheetView rightToLeft="1" zoomScale="90" zoomScaleNormal="100" workbookViewId="0">
      <selection sqref="A1:F1"/>
    </sheetView>
  </sheetViews>
  <sheetFormatPr defaultColWidth="8.6328125" defaultRowHeight="14.5" x14ac:dyDescent="0.35"/>
  <cols>
    <col min="1" max="1" width="32" customWidth="1"/>
    <col min="2" max="6" width="14" customWidth="1"/>
  </cols>
  <sheetData>
    <row r="1" spans="1:6" ht="30" customHeight="1" x14ac:dyDescent="0.35">
      <c r="A1" s="7" t="s">
        <v>14</v>
      </c>
      <c r="B1" s="7"/>
      <c r="C1" s="7"/>
      <c r="D1" s="7"/>
      <c r="E1" s="7"/>
      <c r="F1" s="7"/>
    </row>
    <row r="3" spans="1:6" ht="21.75" customHeight="1" x14ac:dyDescent="0.35">
      <c r="A3" s="6" t="s">
        <v>15</v>
      </c>
      <c r="B3" s="6"/>
      <c r="C3" s="6"/>
      <c r="D3" s="6"/>
      <c r="E3" s="6"/>
      <c r="F3" s="6"/>
    </row>
    <row r="4" spans="1:6" ht="19.5" customHeight="1" x14ac:dyDescent="0.35">
      <c r="A4" s="13" t="s">
        <v>16</v>
      </c>
      <c r="B4" s="5" t="s">
        <v>17</v>
      </c>
      <c r="C4" s="5"/>
      <c r="D4" s="5"/>
      <c r="E4" s="5"/>
      <c r="F4" s="5"/>
    </row>
    <row r="5" spans="1:6" ht="19.5" customHeight="1" x14ac:dyDescent="0.35">
      <c r="A5" s="13" t="s">
        <v>18</v>
      </c>
      <c r="B5" s="5" t="s">
        <v>17</v>
      </c>
      <c r="C5" s="5"/>
      <c r="D5" s="5"/>
      <c r="E5" s="5"/>
      <c r="F5" s="5"/>
    </row>
    <row r="6" spans="1:6" ht="19.5" customHeight="1" x14ac:dyDescent="0.35">
      <c r="A6" s="13" t="s">
        <v>19</v>
      </c>
      <c r="B6" s="5" t="s">
        <v>17</v>
      </c>
      <c r="C6" s="5"/>
      <c r="D6" s="5"/>
      <c r="E6" s="5"/>
      <c r="F6" s="5"/>
    </row>
    <row r="7" spans="1:6" ht="19.5" customHeight="1" x14ac:dyDescent="0.35">
      <c r="A7" s="13" t="s">
        <v>20</v>
      </c>
      <c r="B7" s="5" t="s">
        <v>17</v>
      </c>
      <c r="C7" s="5"/>
      <c r="D7" s="5"/>
      <c r="E7" s="5"/>
      <c r="F7" s="5"/>
    </row>
    <row r="8" spans="1:6" ht="19.5" customHeight="1" x14ac:dyDescent="0.35">
      <c r="A8" s="13" t="s">
        <v>21</v>
      </c>
      <c r="B8" s="5" t="s">
        <v>17</v>
      </c>
      <c r="C8" s="5"/>
      <c r="D8" s="5"/>
      <c r="E8" s="5"/>
      <c r="F8" s="5"/>
    </row>
    <row r="9" spans="1:6" ht="19.5" customHeight="1" x14ac:dyDescent="0.35">
      <c r="A9" s="13" t="s">
        <v>22</v>
      </c>
      <c r="B9" s="4" t="s">
        <v>23</v>
      </c>
      <c r="C9" s="4"/>
      <c r="D9" s="4"/>
      <c r="E9" s="4"/>
      <c r="F9" s="4"/>
    </row>
    <row r="10" spans="1:6" ht="19.5" customHeight="1" x14ac:dyDescent="0.35">
      <c r="A10" s="13" t="s">
        <v>24</v>
      </c>
      <c r="B10" s="4" t="s">
        <v>23</v>
      </c>
      <c r="C10" s="4"/>
      <c r="D10" s="4"/>
      <c r="E10" s="4"/>
      <c r="F10" s="4"/>
    </row>
    <row r="11" spans="1:6" ht="19.5" customHeight="1" x14ac:dyDescent="0.35">
      <c r="A11" s="13" t="s">
        <v>25</v>
      </c>
      <c r="B11" s="5" t="s">
        <v>17</v>
      </c>
      <c r="C11" s="5"/>
      <c r="D11" s="5"/>
      <c r="E11" s="5"/>
      <c r="F11" s="5"/>
    </row>
    <row r="13" spans="1:6" ht="21.75" customHeight="1" x14ac:dyDescent="0.35">
      <c r="A13" s="6" t="s">
        <v>26</v>
      </c>
      <c r="B13" s="6"/>
      <c r="C13" s="6"/>
      <c r="D13" s="6"/>
      <c r="E13" s="6"/>
      <c r="F13" s="6"/>
    </row>
    <row r="14" spans="1:6" ht="19.5" customHeight="1" x14ac:dyDescent="0.35">
      <c r="A14" s="13" t="s">
        <v>27</v>
      </c>
      <c r="B14" s="5" t="s">
        <v>17</v>
      </c>
      <c r="C14" s="5"/>
      <c r="D14" s="5"/>
      <c r="E14" s="5"/>
      <c r="F14" s="5"/>
    </row>
    <row r="15" spans="1:6" ht="19.5" customHeight="1" x14ac:dyDescent="0.35">
      <c r="A15" s="13" t="s">
        <v>28</v>
      </c>
      <c r="B15" s="5" t="s">
        <v>17</v>
      </c>
      <c r="C15" s="5"/>
      <c r="D15" s="5"/>
      <c r="E15" s="5"/>
      <c r="F15" s="5"/>
    </row>
    <row r="16" spans="1:6" ht="19.5" customHeight="1" x14ac:dyDescent="0.35">
      <c r="A16" s="13" t="s">
        <v>29</v>
      </c>
      <c r="B16" s="5" t="s">
        <v>17</v>
      </c>
      <c r="C16" s="5"/>
      <c r="D16" s="5"/>
      <c r="E16" s="5"/>
      <c r="F16" s="5"/>
    </row>
    <row r="17" spans="1:6" ht="19.5" customHeight="1" x14ac:dyDescent="0.35">
      <c r="A17" s="13" t="s">
        <v>30</v>
      </c>
      <c r="B17" s="5" t="s">
        <v>17</v>
      </c>
      <c r="C17" s="5"/>
      <c r="D17" s="5"/>
      <c r="E17" s="5"/>
      <c r="F17" s="5"/>
    </row>
    <row r="18" spans="1:6" ht="19.5" customHeight="1" x14ac:dyDescent="0.35">
      <c r="A18" s="13" t="s">
        <v>31</v>
      </c>
      <c r="B18" s="5" t="s">
        <v>17</v>
      </c>
      <c r="C18" s="5"/>
      <c r="D18" s="5"/>
      <c r="E18" s="5"/>
      <c r="F18" s="5"/>
    </row>
    <row r="19" spans="1:6" ht="19.5" customHeight="1" x14ac:dyDescent="0.35">
      <c r="A19" s="13" t="s">
        <v>32</v>
      </c>
      <c r="B19" s="5" t="s">
        <v>17</v>
      </c>
      <c r="C19" s="5"/>
      <c r="D19" s="5"/>
      <c r="E19" s="5"/>
      <c r="F19" s="5"/>
    </row>
    <row r="21" spans="1:6" ht="21.75" customHeight="1" x14ac:dyDescent="0.35">
      <c r="A21" s="6" t="s">
        <v>33</v>
      </c>
      <c r="B21" s="6"/>
      <c r="C21" s="6"/>
      <c r="D21" s="6"/>
      <c r="E21" s="6"/>
      <c r="F21" s="6"/>
    </row>
    <row r="22" spans="1:6" ht="19.5" customHeight="1" x14ac:dyDescent="0.35">
      <c r="A22" s="13" t="s">
        <v>34</v>
      </c>
      <c r="B22" s="5" t="s">
        <v>17</v>
      </c>
      <c r="C22" s="5"/>
      <c r="D22" s="5"/>
      <c r="E22" s="5"/>
      <c r="F22" s="5"/>
    </row>
    <row r="23" spans="1:6" ht="19.5" customHeight="1" x14ac:dyDescent="0.35">
      <c r="A23" s="13" t="s">
        <v>35</v>
      </c>
      <c r="B23" s="5" t="s">
        <v>17</v>
      </c>
      <c r="C23" s="5"/>
      <c r="D23" s="5"/>
      <c r="E23" s="5"/>
      <c r="F23" s="5"/>
    </row>
    <row r="24" spans="1:6" ht="19.5" customHeight="1" x14ac:dyDescent="0.35">
      <c r="A24" s="13" t="s">
        <v>36</v>
      </c>
      <c r="B24" s="5" t="s">
        <v>17</v>
      </c>
      <c r="C24" s="5"/>
      <c r="D24" s="5"/>
      <c r="E24" s="5"/>
      <c r="F24" s="5"/>
    </row>
    <row r="25" spans="1:6" ht="19.5" customHeight="1" x14ac:dyDescent="0.35">
      <c r="A25" s="13" t="s">
        <v>37</v>
      </c>
      <c r="B25" s="5" t="s">
        <v>17</v>
      </c>
      <c r="C25" s="5"/>
      <c r="D25" s="5"/>
      <c r="E25" s="5"/>
      <c r="F25" s="5"/>
    </row>
    <row r="26" spans="1:6" ht="19.5" customHeight="1" x14ac:dyDescent="0.35">
      <c r="A26" s="13" t="s">
        <v>38</v>
      </c>
      <c r="B26" s="5" t="s">
        <v>17</v>
      </c>
      <c r="C26" s="5"/>
      <c r="D26" s="5"/>
      <c r="E26" s="5"/>
      <c r="F26" s="5"/>
    </row>
    <row r="27" spans="1:6" ht="19.5" customHeight="1" x14ac:dyDescent="0.35">
      <c r="A27" s="13" t="s">
        <v>39</v>
      </c>
      <c r="B27" s="5" t="s">
        <v>17</v>
      </c>
      <c r="C27" s="5"/>
      <c r="D27" s="5"/>
      <c r="E27" s="5"/>
      <c r="F27" s="5"/>
    </row>
    <row r="29" spans="1:6" ht="21.75" customHeight="1" x14ac:dyDescent="0.35">
      <c r="A29" s="6" t="s">
        <v>40</v>
      </c>
      <c r="B29" s="6"/>
      <c r="C29" s="6"/>
      <c r="D29" s="6"/>
      <c r="E29" s="6"/>
      <c r="F29" s="6"/>
    </row>
    <row r="30" spans="1:6" ht="19.5" customHeight="1" x14ac:dyDescent="0.35">
      <c r="A30" s="13" t="s">
        <v>41</v>
      </c>
      <c r="B30" s="5" t="s">
        <v>17</v>
      </c>
      <c r="C30" s="5"/>
      <c r="D30" s="5"/>
      <c r="E30" s="5"/>
      <c r="F30" s="5"/>
    </row>
    <row r="31" spans="1:6" ht="19.5" customHeight="1" x14ac:dyDescent="0.35">
      <c r="A31" s="13" t="s">
        <v>42</v>
      </c>
      <c r="B31" s="5" t="s">
        <v>17</v>
      </c>
      <c r="C31" s="5"/>
      <c r="D31" s="5"/>
      <c r="E31" s="5"/>
      <c r="F31" s="5"/>
    </row>
    <row r="32" spans="1:6" ht="19.5" customHeight="1" x14ac:dyDescent="0.35">
      <c r="A32" s="13" t="s">
        <v>43</v>
      </c>
      <c r="B32" s="5" t="s">
        <v>17</v>
      </c>
      <c r="C32" s="5"/>
      <c r="D32" s="5"/>
      <c r="E32" s="5"/>
      <c r="F32" s="5"/>
    </row>
    <row r="33" spans="1:6" ht="19.5" customHeight="1" x14ac:dyDescent="0.35">
      <c r="A33" s="13" t="s">
        <v>42</v>
      </c>
      <c r="B33" s="5" t="s">
        <v>17</v>
      </c>
      <c r="C33" s="5"/>
      <c r="D33" s="5"/>
      <c r="E33" s="5"/>
      <c r="F33" s="5"/>
    </row>
    <row r="34" spans="1:6" ht="19.5" customHeight="1" x14ac:dyDescent="0.35">
      <c r="A34" s="13" t="s">
        <v>44</v>
      </c>
      <c r="B34" s="5" t="s">
        <v>17</v>
      </c>
      <c r="C34" s="5"/>
      <c r="D34" s="5"/>
      <c r="E34" s="5"/>
      <c r="F34" s="5"/>
    </row>
    <row r="35" spans="1:6" ht="19.5" customHeight="1" x14ac:dyDescent="0.35">
      <c r="A35" s="13" t="s">
        <v>42</v>
      </c>
      <c r="B35" s="5" t="s">
        <v>17</v>
      </c>
      <c r="C35" s="5"/>
      <c r="D35" s="5"/>
      <c r="E35" s="5"/>
      <c r="F35" s="5"/>
    </row>
    <row r="37" spans="1:6" ht="21.75" customHeight="1" x14ac:dyDescent="0.35">
      <c r="A37" s="6" t="s">
        <v>45</v>
      </c>
      <c r="B37" s="6"/>
      <c r="C37" s="6"/>
      <c r="D37" s="6"/>
      <c r="E37" s="6"/>
      <c r="F37" s="6"/>
    </row>
    <row r="38" spans="1:6" ht="19.5" customHeight="1" x14ac:dyDescent="0.35">
      <c r="A38" s="13" t="s">
        <v>46</v>
      </c>
      <c r="B38" s="5" t="s">
        <v>17</v>
      </c>
      <c r="C38" s="5"/>
      <c r="D38" s="5"/>
      <c r="E38" s="5"/>
      <c r="F38" s="5"/>
    </row>
    <row r="39" spans="1:6" ht="19.5" customHeight="1" x14ac:dyDescent="0.35">
      <c r="A39" s="13" t="s">
        <v>47</v>
      </c>
      <c r="B39" s="5" t="s">
        <v>17</v>
      </c>
      <c r="C39" s="5"/>
      <c r="D39" s="5"/>
      <c r="E39" s="5"/>
      <c r="F39" s="5"/>
    </row>
    <row r="40" spans="1:6" ht="19.5" customHeight="1" x14ac:dyDescent="0.35">
      <c r="A40" s="13" t="s">
        <v>48</v>
      </c>
      <c r="B40" s="5" t="s">
        <v>17</v>
      </c>
      <c r="C40" s="5"/>
      <c r="D40" s="5"/>
      <c r="E40" s="5"/>
      <c r="F40" s="5"/>
    </row>
    <row r="41" spans="1:6" ht="19.5" customHeight="1" x14ac:dyDescent="0.35">
      <c r="A41" s="13" t="s">
        <v>49</v>
      </c>
      <c r="B41" s="5" t="s">
        <v>17</v>
      </c>
      <c r="C41" s="5"/>
      <c r="D41" s="5"/>
      <c r="E41" s="5"/>
      <c r="F41" s="5"/>
    </row>
    <row r="42" spans="1:6" ht="19.5" customHeight="1" x14ac:dyDescent="0.35">
      <c r="A42" s="13" t="s">
        <v>50</v>
      </c>
      <c r="B42" s="5" t="s">
        <v>17</v>
      </c>
      <c r="C42" s="5"/>
      <c r="D42" s="5"/>
      <c r="E42" s="5"/>
      <c r="F42" s="5"/>
    </row>
    <row r="43" spans="1:6" ht="19.5" customHeight="1" x14ac:dyDescent="0.35">
      <c r="A43" s="13" t="s">
        <v>51</v>
      </c>
      <c r="B43" s="5" t="s">
        <v>17</v>
      </c>
      <c r="C43" s="5"/>
      <c r="D43" s="5"/>
      <c r="E43" s="5"/>
      <c r="F43" s="5"/>
    </row>
    <row r="45" spans="1:6" ht="21.75" customHeight="1" x14ac:dyDescent="0.35">
      <c r="A45" s="6" t="s">
        <v>52</v>
      </c>
      <c r="B45" s="6"/>
      <c r="C45" s="6"/>
      <c r="D45" s="6"/>
      <c r="E45" s="6"/>
      <c r="F45" s="6"/>
    </row>
    <row r="46" spans="1:6" ht="19.5" customHeight="1" x14ac:dyDescent="0.35">
      <c r="A46" s="13" t="s">
        <v>53</v>
      </c>
      <c r="B46" s="5" t="s">
        <v>17</v>
      </c>
      <c r="C46" s="5"/>
      <c r="D46" s="5"/>
      <c r="E46" s="5"/>
      <c r="F46" s="5"/>
    </row>
    <row r="47" spans="1:6" ht="19.5" customHeight="1" x14ac:dyDescent="0.35">
      <c r="A47" s="13" t="s">
        <v>54</v>
      </c>
      <c r="B47" s="5" t="s">
        <v>17</v>
      </c>
      <c r="C47" s="5"/>
      <c r="D47" s="5"/>
      <c r="E47" s="5"/>
      <c r="F47" s="5"/>
    </row>
    <row r="48" spans="1:6" ht="19.5" customHeight="1" x14ac:dyDescent="0.35">
      <c r="A48" s="13" t="s">
        <v>55</v>
      </c>
      <c r="B48" s="5" t="s">
        <v>17</v>
      </c>
      <c r="C48" s="5"/>
      <c r="D48" s="5"/>
      <c r="E48" s="5"/>
      <c r="F48" s="5"/>
    </row>
    <row r="49" spans="1:6" ht="19.5" customHeight="1" x14ac:dyDescent="0.35">
      <c r="A49" s="13" t="s">
        <v>56</v>
      </c>
      <c r="B49" s="5" t="s">
        <v>17</v>
      </c>
      <c r="C49" s="5"/>
      <c r="D49" s="5"/>
      <c r="E49" s="5"/>
      <c r="F49" s="5"/>
    </row>
    <row r="51" spans="1:6" ht="21.75" customHeight="1" x14ac:dyDescent="0.35">
      <c r="A51" s="6" t="s">
        <v>57</v>
      </c>
      <c r="B51" s="6"/>
      <c r="C51" s="6"/>
      <c r="D51" s="6"/>
      <c r="E51" s="6"/>
      <c r="F51" s="6"/>
    </row>
    <row r="52" spans="1:6" ht="19.5" customHeight="1" x14ac:dyDescent="0.35">
      <c r="A52" s="13" t="s">
        <v>58</v>
      </c>
      <c r="B52" s="5" t="s">
        <v>17</v>
      </c>
      <c r="C52" s="5"/>
      <c r="D52" s="5"/>
      <c r="E52" s="5"/>
      <c r="F52" s="5"/>
    </row>
    <row r="53" spans="1:6" ht="19.5" customHeight="1" x14ac:dyDescent="0.35">
      <c r="A53" s="13" t="s">
        <v>59</v>
      </c>
      <c r="B53" s="5" t="s">
        <v>17</v>
      </c>
      <c r="C53" s="5"/>
      <c r="D53" s="5"/>
      <c r="E53" s="5"/>
      <c r="F53" s="5"/>
    </row>
    <row r="54" spans="1:6" ht="19.5" customHeight="1" x14ac:dyDescent="0.35">
      <c r="A54" s="13" t="s">
        <v>60</v>
      </c>
      <c r="B54" s="5" t="s">
        <v>17</v>
      </c>
      <c r="C54" s="5"/>
      <c r="D54" s="5"/>
      <c r="E54" s="5"/>
      <c r="F54" s="5"/>
    </row>
    <row r="55" spans="1:6" ht="19.5" customHeight="1" x14ac:dyDescent="0.35">
      <c r="A55" s="13" t="s">
        <v>61</v>
      </c>
      <c r="B55" s="5" t="s">
        <v>17</v>
      </c>
      <c r="C55" s="5"/>
      <c r="D55" s="5"/>
      <c r="E55" s="5"/>
      <c r="F55" s="5"/>
    </row>
    <row r="57" spans="1:6" ht="21.75" customHeight="1" x14ac:dyDescent="0.35">
      <c r="A57" s="6" t="s">
        <v>62</v>
      </c>
      <c r="B57" s="6"/>
      <c r="C57" s="6"/>
      <c r="D57" s="6"/>
      <c r="E57" s="6"/>
      <c r="F57" s="6"/>
    </row>
    <row r="58" spans="1:6" ht="19.5" customHeight="1" x14ac:dyDescent="0.35">
      <c r="A58" s="13" t="s">
        <v>63</v>
      </c>
      <c r="B58" s="5" t="s">
        <v>17</v>
      </c>
      <c r="C58" s="5"/>
      <c r="D58" s="5"/>
      <c r="E58" s="5"/>
      <c r="F58" s="5"/>
    </row>
    <row r="59" spans="1:6" ht="19.5" customHeight="1" x14ac:dyDescent="0.35">
      <c r="A59" s="13" t="s">
        <v>64</v>
      </c>
      <c r="B59" s="5" t="s">
        <v>17</v>
      </c>
      <c r="C59" s="5"/>
      <c r="D59" s="5"/>
      <c r="E59" s="5"/>
      <c r="F59" s="5"/>
    </row>
    <row r="60" spans="1:6" ht="19.5" customHeight="1" x14ac:dyDescent="0.35">
      <c r="A60" s="13" t="s">
        <v>65</v>
      </c>
      <c r="B60" s="5" t="s">
        <v>17</v>
      </c>
      <c r="C60" s="5"/>
      <c r="D60" s="5"/>
      <c r="E60" s="5"/>
      <c r="F60" s="5"/>
    </row>
    <row r="61" spans="1:6" ht="19.5" customHeight="1" x14ac:dyDescent="0.35">
      <c r="A61" s="13" t="s">
        <v>66</v>
      </c>
      <c r="B61" s="5" t="s">
        <v>17</v>
      </c>
      <c r="C61" s="5"/>
      <c r="D61" s="5"/>
      <c r="E61" s="5"/>
      <c r="F61" s="5"/>
    </row>
  </sheetData>
  <mergeCells count="53">
    <mergeCell ref="B59:F59"/>
    <mergeCell ref="B60:F60"/>
    <mergeCell ref="B61:F61"/>
    <mergeCell ref="B53:F53"/>
    <mergeCell ref="B54:F54"/>
    <mergeCell ref="B55:F55"/>
    <mergeCell ref="A57:F57"/>
    <mergeCell ref="B58:F58"/>
    <mergeCell ref="B47:F47"/>
    <mergeCell ref="B48:F48"/>
    <mergeCell ref="B49:F49"/>
    <mergeCell ref="A51:F51"/>
    <mergeCell ref="B52:F52"/>
    <mergeCell ref="B41:F41"/>
    <mergeCell ref="B42:F42"/>
    <mergeCell ref="B43:F43"/>
    <mergeCell ref="A45:F45"/>
    <mergeCell ref="B46:F46"/>
    <mergeCell ref="B35:F35"/>
    <mergeCell ref="A37:F37"/>
    <mergeCell ref="B38:F38"/>
    <mergeCell ref="B39:F39"/>
    <mergeCell ref="B40:F40"/>
    <mergeCell ref="B30:F30"/>
    <mergeCell ref="B31:F31"/>
    <mergeCell ref="B32:F32"/>
    <mergeCell ref="B33:F33"/>
    <mergeCell ref="B34:F34"/>
    <mergeCell ref="B24:F24"/>
    <mergeCell ref="B25:F25"/>
    <mergeCell ref="B26:F26"/>
    <mergeCell ref="B27:F27"/>
    <mergeCell ref="A29:F29"/>
    <mergeCell ref="B18:F18"/>
    <mergeCell ref="B19:F19"/>
    <mergeCell ref="A21:F21"/>
    <mergeCell ref="B22:F22"/>
    <mergeCell ref="B23:F23"/>
    <mergeCell ref="A13:F13"/>
    <mergeCell ref="B14:F14"/>
    <mergeCell ref="B15:F15"/>
    <mergeCell ref="B16:F16"/>
    <mergeCell ref="B17:F17"/>
    <mergeCell ref="B7:F7"/>
    <mergeCell ref="B8:F8"/>
    <mergeCell ref="B9:F9"/>
    <mergeCell ref="B10:F10"/>
    <mergeCell ref="B11:F11"/>
    <mergeCell ref="A1:F1"/>
    <mergeCell ref="A3:F3"/>
    <mergeCell ref="B4:F4"/>
    <mergeCell ref="B5:F5"/>
    <mergeCell ref="B6:F6"/>
  </mergeCells>
  <pageMargins left="0.75" right="0.75" top="1" bottom="1" header="0.511811023622047" footer="0.511811023622047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51"/>
  <sheetViews>
    <sheetView rightToLeft="1" topLeftCell="A28" zoomScale="84" zoomScaleNormal="100" workbookViewId="0">
      <selection activeCell="B40" sqref="B40:D45"/>
    </sheetView>
  </sheetViews>
  <sheetFormatPr defaultColWidth="8.6328125" defaultRowHeight="14.5" x14ac:dyDescent="0.35"/>
  <cols>
    <col min="1" max="1" width="30" style="33" customWidth="1"/>
    <col min="2" max="3" width="18" style="33" customWidth="1"/>
    <col min="4" max="7" width="10" style="33" customWidth="1"/>
    <col min="8" max="16384" width="8.6328125" style="33"/>
  </cols>
  <sheetData>
    <row r="1" spans="1:7" ht="30" customHeight="1" x14ac:dyDescent="0.35">
      <c r="A1" s="32" t="s">
        <v>67</v>
      </c>
      <c r="B1" s="32"/>
      <c r="C1" s="32"/>
      <c r="D1" s="32"/>
      <c r="E1" s="32"/>
      <c r="F1" s="32"/>
      <c r="G1" s="32"/>
    </row>
    <row r="3" spans="1:7" ht="21.75" customHeight="1" x14ac:dyDescent="0.35">
      <c r="A3" s="34" t="s">
        <v>68</v>
      </c>
      <c r="B3" s="34"/>
      <c r="C3" s="34"/>
      <c r="D3" s="34"/>
    </row>
    <row r="4" spans="1:7" ht="16.5" customHeight="1" x14ac:dyDescent="0.35">
      <c r="A4" s="35" t="s">
        <v>69</v>
      </c>
      <c r="B4" s="36" t="s">
        <v>17</v>
      </c>
      <c r="C4" s="36"/>
      <c r="D4" s="36"/>
    </row>
    <row r="5" spans="1:7" ht="16.5" customHeight="1" x14ac:dyDescent="0.35">
      <c r="A5" s="35" t="s">
        <v>70</v>
      </c>
      <c r="B5" s="36" t="s">
        <v>17</v>
      </c>
      <c r="C5" s="36"/>
      <c r="D5" s="36"/>
    </row>
    <row r="6" spans="1:7" ht="16.5" customHeight="1" x14ac:dyDescent="0.35">
      <c r="A6" s="35" t="s">
        <v>71</v>
      </c>
      <c r="B6" s="36" t="s">
        <v>17</v>
      </c>
      <c r="C6" s="36"/>
      <c r="D6" s="36"/>
    </row>
    <row r="7" spans="1:7" ht="16.5" customHeight="1" x14ac:dyDescent="0.35">
      <c r="A7" s="35" t="s">
        <v>72</v>
      </c>
      <c r="B7" s="36" t="s">
        <v>17</v>
      </c>
      <c r="C7" s="36"/>
      <c r="D7" s="36"/>
    </row>
    <row r="9" spans="1:7" ht="21.75" customHeight="1" x14ac:dyDescent="0.35">
      <c r="A9" s="34" t="s">
        <v>73</v>
      </c>
      <c r="B9" s="34"/>
      <c r="C9" s="34"/>
      <c r="D9" s="34"/>
    </row>
    <row r="10" spans="1:7" ht="19.5" customHeight="1" x14ac:dyDescent="0.35">
      <c r="A10" s="37" t="s">
        <v>74</v>
      </c>
      <c r="B10" s="37" t="s">
        <v>75</v>
      </c>
      <c r="C10" s="38" t="s">
        <v>76</v>
      </c>
      <c r="D10" s="38"/>
    </row>
    <row r="11" spans="1:7" ht="16.5" customHeight="1" x14ac:dyDescent="0.35">
      <c r="A11" s="35" t="s">
        <v>77</v>
      </c>
      <c r="B11" s="39">
        <v>0</v>
      </c>
      <c r="C11" s="40"/>
      <c r="D11" s="40"/>
    </row>
    <row r="12" spans="1:7" ht="16.5" customHeight="1" x14ac:dyDescent="0.35">
      <c r="A12" s="35" t="s">
        <v>78</v>
      </c>
      <c r="B12" s="39">
        <v>0</v>
      </c>
      <c r="C12" s="40"/>
      <c r="D12" s="40"/>
    </row>
    <row r="13" spans="1:7" ht="16.5" customHeight="1" x14ac:dyDescent="0.35">
      <c r="A13" s="35" t="s">
        <v>79</v>
      </c>
      <c r="B13" s="39">
        <v>0</v>
      </c>
      <c r="C13" s="40"/>
      <c r="D13" s="40"/>
    </row>
    <row r="14" spans="1:7" ht="16.5" customHeight="1" x14ac:dyDescent="0.35">
      <c r="A14" s="35" t="s">
        <v>80</v>
      </c>
      <c r="B14" s="39">
        <v>0</v>
      </c>
      <c r="C14" s="40"/>
      <c r="D14" s="40"/>
    </row>
    <row r="15" spans="1:7" ht="16.5" customHeight="1" x14ac:dyDescent="0.35">
      <c r="A15" s="35" t="s">
        <v>81</v>
      </c>
      <c r="B15" s="39">
        <v>0</v>
      </c>
      <c r="C15" s="40"/>
      <c r="D15" s="40"/>
    </row>
    <row r="16" spans="1:7" ht="16.5" customHeight="1" x14ac:dyDescent="0.35">
      <c r="A16" s="35" t="s">
        <v>82</v>
      </c>
      <c r="B16" s="39">
        <v>0</v>
      </c>
      <c r="C16" s="40"/>
      <c r="D16" s="40"/>
    </row>
    <row r="17" spans="1:4" ht="19.5" customHeight="1" x14ac:dyDescent="0.35">
      <c r="A17" s="41" t="s">
        <v>83</v>
      </c>
      <c r="B17" s="48">
        <f>SUM(B11:B16)</f>
        <v>0</v>
      </c>
    </row>
    <row r="19" spans="1:4" ht="21.75" customHeight="1" x14ac:dyDescent="0.35">
      <c r="A19" s="34" t="s">
        <v>84</v>
      </c>
      <c r="B19" s="34"/>
      <c r="C19" s="34"/>
      <c r="D19" s="34"/>
    </row>
    <row r="20" spans="1:4" ht="19.5" customHeight="1" x14ac:dyDescent="0.35">
      <c r="A20" s="37" t="s">
        <v>74</v>
      </c>
      <c r="B20" s="37" t="s">
        <v>85</v>
      </c>
      <c r="C20" s="38" t="s">
        <v>86</v>
      </c>
      <c r="D20" s="38"/>
    </row>
    <row r="21" spans="1:4" ht="16.5" customHeight="1" x14ac:dyDescent="0.35">
      <c r="A21" s="35" t="s">
        <v>87</v>
      </c>
      <c r="B21" s="39">
        <v>0</v>
      </c>
      <c r="C21" s="49">
        <f t="shared" ref="C21:C28" si="0">B21*12</f>
        <v>0</v>
      </c>
    </row>
    <row r="22" spans="1:4" ht="16.5" customHeight="1" x14ac:dyDescent="0.35">
      <c r="A22" s="35" t="s">
        <v>88</v>
      </c>
      <c r="B22" s="39">
        <v>0</v>
      </c>
      <c r="C22" s="49">
        <f t="shared" si="0"/>
        <v>0</v>
      </c>
    </row>
    <row r="23" spans="1:4" ht="16.5" customHeight="1" x14ac:dyDescent="0.35">
      <c r="A23" s="35" t="s">
        <v>89</v>
      </c>
      <c r="B23" s="39">
        <v>0</v>
      </c>
      <c r="C23" s="49">
        <f t="shared" si="0"/>
        <v>0</v>
      </c>
    </row>
    <row r="24" spans="1:4" ht="16.5" customHeight="1" x14ac:dyDescent="0.35">
      <c r="A24" s="35" t="s">
        <v>90</v>
      </c>
      <c r="B24" s="39">
        <v>0</v>
      </c>
      <c r="C24" s="49">
        <f t="shared" si="0"/>
        <v>0</v>
      </c>
    </row>
    <row r="25" spans="1:4" ht="16.5" customHeight="1" x14ac:dyDescent="0.35">
      <c r="A25" s="35" t="s">
        <v>91</v>
      </c>
      <c r="B25" s="39">
        <v>0</v>
      </c>
      <c r="C25" s="49">
        <f t="shared" si="0"/>
        <v>0</v>
      </c>
    </row>
    <row r="26" spans="1:4" ht="16.5" customHeight="1" x14ac:dyDescent="0.35">
      <c r="A26" s="35" t="s">
        <v>92</v>
      </c>
      <c r="B26" s="39">
        <v>0</v>
      </c>
      <c r="C26" s="49">
        <f t="shared" si="0"/>
        <v>0</v>
      </c>
    </row>
    <row r="27" spans="1:4" ht="16.5" customHeight="1" x14ac:dyDescent="0.35">
      <c r="A27" s="35" t="s">
        <v>93</v>
      </c>
      <c r="B27" s="39">
        <v>0</v>
      </c>
      <c r="C27" s="49">
        <f t="shared" si="0"/>
        <v>0</v>
      </c>
    </row>
    <row r="28" spans="1:4" ht="16.5" customHeight="1" x14ac:dyDescent="0.35">
      <c r="A28" s="35" t="s">
        <v>94</v>
      </c>
      <c r="B28" s="39">
        <v>0</v>
      </c>
      <c r="C28" s="49">
        <f t="shared" si="0"/>
        <v>0</v>
      </c>
    </row>
    <row r="29" spans="1:4" ht="19.5" customHeight="1" x14ac:dyDescent="0.35">
      <c r="A29" s="41" t="s">
        <v>95</v>
      </c>
      <c r="B29" s="48">
        <f>SUM(B21:B28)</f>
        <v>0</v>
      </c>
      <c r="C29" s="48">
        <f>SUM(C21:C28)</f>
        <v>0</v>
      </c>
    </row>
    <row r="31" spans="1:4" ht="21.75" customHeight="1" x14ac:dyDescent="0.35">
      <c r="A31" s="34" t="s">
        <v>96</v>
      </c>
      <c r="B31" s="34"/>
      <c r="C31" s="34"/>
      <c r="D31" s="34"/>
    </row>
    <row r="32" spans="1:4" ht="19.5" customHeight="1" x14ac:dyDescent="0.35">
      <c r="A32" s="37" t="s">
        <v>97</v>
      </c>
      <c r="B32" s="37" t="s">
        <v>85</v>
      </c>
      <c r="C32" s="38" t="s">
        <v>86</v>
      </c>
      <c r="D32" s="38"/>
    </row>
    <row r="33" spans="1:4" ht="16.5" customHeight="1" x14ac:dyDescent="0.35">
      <c r="A33" s="35" t="s">
        <v>98</v>
      </c>
      <c r="B33" s="39">
        <v>0</v>
      </c>
      <c r="C33" s="49">
        <f>B33*12</f>
        <v>0</v>
      </c>
    </row>
    <row r="34" spans="1:4" ht="16.5" customHeight="1" x14ac:dyDescent="0.35">
      <c r="A34" s="35" t="s">
        <v>99</v>
      </c>
      <c r="B34" s="39">
        <v>0</v>
      </c>
      <c r="C34" s="49">
        <f>B34*12</f>
        <v>0</v>
      </c>
    </row>
    <row r="35" spans="1:4" ht="16.5" customHeight="1" x14ac:dyDescent="0.35">
      <c r="A35" s="35" t="s">
        <v>100</v>
      </c>
      <c r="B35" s="39">
        <v>0</v>
      </c>
      <c r="C35" s="49">
        <f>B35*12</f>
        <v>0</v>
      </c>
    </row>
    <row r="36" spans="1:4" ht="16.5" customHeight="1" x14ac:dyDescent="0.35">
      <c r="A36" s="35" t="s">
        <v>101</v>
      </c>
      <c r="B36" s="39">
        <v>0</v>
      </c>
      <c r="C36" s="49">
        <f>B36*12</f>
        <v>0</v>
      </c>
    </row>
    <row r="37" spans="1:4" ht="19.5" customHeight="1" x14ac:dyDescent="0.35">
      <c r="A37" s="41" t="s">
        <v>102</v>
      </c>
      <c r="B37" s="48">
        <f>SUM(B33:B36)</f>
        <v>0</v>
      </c>
      <c r="C37" s="48">
        <f>SUM(C33:C36)</f>
        <v>0</v>
      </c>
    </row>
    <row r="39" spans="1:4" ht="21.75" customHeight="1" x14ac:dyDescent="0.35">
      <c r="A39" s="42" t="s">
        <v>103</v>
      </c>
      <c r="B39" s="42"/>
      <c r="C39" s="42"/>
      <c r="D39" s="42"/>
    </row>
    <row r="40" spans="1:4" ht="18" customHeight="1" x14ac:dyDescent="0.35">
      <c r="A40" s="35" t="s">
        <v>104</v>
      </c>
      <c r="B40" s="50">
        <f>B37-B29</f>
        <v>0</v>
      </c>
      <c r="C40" s="51"/>
      <c r="D40" s="51"/>
    </row>
    <row r="41" spans="1:4" ht="18" customHeight="1" x14ac:dyDescent="0.35">
      <c r="A41" s="35" t="s">
        <v>105</v>
      </c>
      <c r="B41" s="50">
        <f>C37-C29</f>
        <v>0</v>
      </c>
      <c r="C41" s="51"/>
      <c r="D41" s="51"/>
    </row>
    <row r="42" spans="1:4" ht="18" customHeight="1" x14ac:dyDescent="0.35">
      <c r="A42" s="35" t="s">
        <v>106</v>
      </c>
      <c r="B42" s="52">
        <f>IF(C37=0,0,(C37-C29)/C37)</f>
        <v>0</v>
      </c>
      <c r="C42" s="51"/>
      <c r="D42" s="51"/>
    </row>
    <row r="43" spans="1:4" ht="18" customHeight="1" x14ac:dyDescent="0.35">
      <c r="A43" s="35" t="s">
        <v>107</v>
      </c>
      <c r="B43" s="53" t="str">
        <f>IF((B37-B29)&lt;=0,"غير محدد",B17/(B37-B29))</f>
        <v>غير محدد</v>
      </c>
      <c r="C43" s="53"/>
      <c r="D43" s="53"/>
    </row>
    <row r="44" spans="1:4" ht="18" customHeight="1" x14ac:dyDescent="0.35">
      <c r="A44" s="35" t="s">
        <v>108</v>
      </c>
      <c r="B44" s="50">
        <f>B29</f>
        <v>0</v>
      </c>
      <c r="C44" s="51"/>
      <c r="D44" s="51"/>
    </row>
    <row r="45" spans="1:4" ht="18" customHeight="1" x14ac:dyDescent="0.35">
      <c r="A45" s="35" t="s">
        <v>109</v>
      </c>
      <c r="B45" s="53" t="str">
        <f>IF(B37&gt;B29,"✅ المشروع جدوى اقتصادية إيجابية","❌ راجع التكاليف أو الإيرادات")</f>
        <v>❌ راجع التكاليف أو الإيرادات</v>
      </c>
      <c r="C45" s="53"/>
      <c r="D45" s="53"/>
    </row>
    <row r="47" spans="1:4" x14ac:dyDescent="0.35">
      <c r="A47" s="43" t="s">
        <v>110</v>
      </c>
    </row>
    <row r="48" spans="1:4" ht="12.75" customHeight="1" x14ac:dyDescent="0.35">
      <c r="A48" s="44" t="s">
        <v>111</v>
      </c>
    </row>
    <row r="49" spans="1:1" ht="12.75" customHeight="1" x14ac:dyDescent="0.35">
      <c r="A49" s="45" t="s">
        <v>112</v>
      </c>
    </row>
    <row r="50" spans="1:1" ht="12.75" customHeight="1" x14ac:dyDescent="0.35">
      <c r="A50" s="46" t="s">
        <v>113</v>
      </c>
    </row>
    <row r="51" spans="1:1" ht="12.75" customHeight="1" x14ac:dyDescent="0.35">
      <c r="A51" s="47" t="s">
        <v>114</v>
      </c>
    </row>
  </sheetData>
  <sheetProtection algorithmName="SHA-512" hashValue="NnTDOPrxroteFirnsoD8X3SAB6RbZqmJURKBUwSINpd9XXJ1bF/lwfkuNBiZySdTEZlLuZ2Wdi/a9fRS4A5E9w==" saltValue="0gu8TbvKqBBSVbVkGYWsXw==" spinCount="100000" sheet="1" objects="1" scenarios="1"/>
  <mergeCells count="21">
    <mergeCell ref="B45:D45"/>
    <mergeCell ref="C20:D20"/>
    <mergeCell ref="A31:D31"/>
    <mergeCell ref="C32:D32"/>
    <mergeCell ref="A39:D39"/>
    <mergeCell ref="B43:D43"/>
    <mergeCell ref="C13:D13"/>
    <mergeCell ref="C14:D14"/>
    <mergeCell ref="C15:D15"/>
    <mergeCell ref="C16:D16"/>
    <mergeCell ref="A19:D19"/>
    <mergeCell ref="B7:D7"/>
    <mergeCell ref="A9:D9"/>
    <mergeCell ref="C10:D10"/>
    <mergeCell ref="C11:D11"/>
    <mergeCell ref="C12:D12"/>
    <mergeCell ref="A1:G1"/>
    <mergeCell ref="A3:D3"/>
    <mergeCell ref="B4:D4"/>
    <mergeCell ref="B5:D5"/>
    <mergeCell ref="B6:D6"/>
  </mergeCells>
  <pageMargins left="0.75" right="0.75" top="1" bottom="1" header="0.511811023622047" footer="0.511811023622047"/>
  <pageSetup paperSize="9" orientation="portrait" horizontalDpi="300" verticalDpi="300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G45"/>
  <sheetViews>
    <sheetView rightToLeft="1" topLeftCell="A24" zoomScale="78" zoomScaleNormal="100" workbookViewId="0">
      <selection activeCell="F34" sqref="F34:F39"/>
    </sheetView>
  </sheetViews>
  <sheetFormatPr defaultColWidth="8.6328125" defaultRowHeight="14.5" x14ac:dyDescent="0.35"/>
  <cols>
    <col min="1" max="1" width="28" style="33" customWidth="1"/>
    <col min="2" max="2" width="20" style="33" customWidth="1"/>
    <col min="3" max="5" width="16" style="33" customWidth="1"/>
    <col min="6" max="6" width="14" style="33" customWidth="1"/>
    <col min="7" max="7" width="16" style="33" customWidth="1"/>
    <col min="8" max="16384" width="8.6328125" style="33"/>
  </cols>
  <sheetData>
    <row r="1" spans="1:7" ht="30" customHeight="1" x14ac:dyDescent="0.35">
      <c r="A1" s="32" t="s">
        <v>115</v>
      </c>
      <c r="B1" s="32"/>
      <c r="C1" s="32"/>
      <c r="D1" s="32"/>
      <c r="E1" s="32"/>
      <c r="F1" s="32"/>
      <c r="G1" s="32"/>
    </row>
    <row r="3" spans="1:7" ht="21.75" customHeight="1" x14ac:dyDescent="0.35">
      <c r="A3" s="34" t="s">
        <v>116</v>
      </c>
      <c r="B3" s="34"/>
      <c r="C3" s="34"/>
      <c r="D3" s="34"/>
      <c r="E3" s="34"/>
      <c r="F3" s="34"/>
      <c r="G3" s="34"/>
    </row>
    <row r="4" spans="1:7" ht="19.5" customHeight="1" x14ac:dyDescent="0.35">
      <c r="A4" s="54" t="s">
        <v>117</v>
      </c>
      <c r="B4" s="55" t="s">
        <v>17</v>
      </c>
      <c r="C4" s="55"/>
      <c r="D4" s="55"/>
      <c r="E4" s="55"/>
      <c r="F4" s="55"/>
      <c r="G4" s="55"/>
    </row>
    <row r="5" spans="1:7" ht="19.5" customHeight="1" x14ac:dyDescent="0.35">
      <c r="A5" s="54" t="s">
        <v>118</v>
      </c>
      <c r="B5" s="55" t="s">
        <v>17</v>
      </c>
      <c r="C5" s="55"/>
      <c r="D5" s="55"/>
      <c r="E5" s="55"/>
      <c r="F5" s="55"/>
      <c r="G5" s="55"/>
    </row>
    <row r="6" spans="1:7" ht="19.5" customHeight="1" x14ac:dyDescent="0.35">
      <c r="A6" s="54" t="s">
        <v>119</v>
      </c>
      <c r="B6" s="55" t="s">
        <v>17</v>
      </c>
      <c r="C6" s="55"/>
      <c r="D6" s="55"/>
      <c r="E6" s="55"/>
      <c r="F6" s="55"/>
      <c r="G6" s="55"/>
    </row>
    <row r="7" spans="1:7" ht="19.5" customHeight="1" x14ac:dyDescent="0.35">
      <c r="A7" s="54" t="s">
        <v>120</v>
      </c>
      <c r="B7" s="55" t="s">
        <v>121</v>
      </c>
      <c r="C7" s="55"/>
      <c r="D7" s="55"/>
      <c r="E7" s="55"/>
      <c r="F7" s="55"/>
      <c r="G7" s="55"/>
    </row>
    <row r="8" spans="1:7" ht="19.5" customHeight="1" x14ac:dyDescent="0.35">
      <c r="A8" s="54" t="s">
        <v>122</v>
      </c>
      <c r="B8" s="55" t="s">
        <v>17</v>
      </c>
      <c r="C8" s="55"/>
      <c r="D8" s="55"/>
      <c r="E8" s="55"/>
      <c r="F8" s="55"/>
      <c r="G8" s="55"/>
    </row>
    <row r="9" spans="1:7" ht="19.5" customHeight="1" x14ac:dyDescent="0.35">
      <c r="A9" s="54" t="s">
        <v>123</v>
      </c>
      <c r="B9" s="55" t="s">
        <v>17</v>
      </c>
      <c r="C9" s="55"/>
      <c r="D9" s="55"/>
      <c r="E9" s="55"/>
      <c r="F9" s="55"/>
      <c r="G9" s="55"/>
    </row>
    <row r="10" spans="1:7" ht="19.5" customHeight="1" x14ac:dyDescent="0.35">
      <c r="A10" s="54" t="s">
        <v>124</v>
      </c>
      <c r="B10" s="55" t="s">
        <v>17</v>
      </c>
      <c r="C10" s="55"/>
      <c r="D10" s="55"/>
      <c r="E10" s="55"/>
      <c r="F10" s="55"/>
      <c r="G10" s="55"/>
    </row>
    <row r="11" spans="1:7" ht="19.5" customHeight="1" x14ac:dyDescent="0.35">
      <c r="A11" s="54" t="s">
        <v>125</v>
      </c>
      <c r="B11" s="55" t="s">
        <v>17</v>
      </c>
      <c r="C11" s="55"/>
      <c r="D11" s="55"/>
      <c r="E11" s="55"/>
      <c r="F11" s="55"/>
      <c r="G11" s="55"/>
    </row>
    <row r="12" spans="1:7" ht="19.5" customHeight="1" x14ac:dyDescent="0.35">
      <c r="A12" s="54" t="s">
        <v>126</v>
      </c>
      <c r="B12" s="55" t="s">
        <v>17</v>
      </c>
      <c r="C12" s="55"/>
      <c r="D12" s="55"/>
      <c r="E12" s="55"/>
      <c r="F12" s="55"/>
      <c r="G12" s="55"/>
    </row>
    <row r="13" spans="1:7" ht="19.5" customHeight="1" x14ac:dyDescent="0.35">
      <c r="A13" s="54" t="s">
        <v>127</v>
      </c>
      <c r="B13" s="55" t="s">
        <v>17</v>
      </c>
      <c r="C13" s="55"/>
      <c r="D13" s="55"/>
      <c r="E13" s="55"/>
      <c r="F13" s="55"/>
      <c r="G13" s="55"/>
    </row>
    <row r="14" spans="1:7" ht="19.5" customHeight="1" x14ac:dyDescent="0.35">
      <c r="A14" s="54" t="s">
        <v>128</v>
      </c>
      <c r="B14" s="55" t="s">
        <v>17</v>
      </c>
      <c r="C14" s="55"/>
      <c r="D14" s="55"/>
      <c r="E14" s="55"/>
      <c r="F14" s="55"/>
      <c r="G14" s="55"/>
    </row>
    <row r="15" spans="1:7" ht="19.5" customHeight="1" x14ac:dyDescent="0.35">
      <c r="A15" s="54" t="s">
        <v>129</v>
      </c>
      <c r="B15" s="55" t="s">
        <v>17</v>
      </c>
      <c r="C15" s="55"/>
      <c r="D15" s="55"/>
      <c r="E15" s="55"/>
      <c r="F15" s="55"/>
      <c r="G15" s="55"/>
    </row>
    <row r="17" spans="1:7" ht="21.75" customHeight="1" x14ac:dyDescent="0.35">
      <c r="A17" s="34" t="s">
        <v>130</v>
      </c>
      <c r="B17" s="34"/>
      <c r="C17" s="34"/>
      <c r="D17" s="34"/>
      <c r="E17" s="34"/>
      <c r="F17" s="34"/>
      <c r="G17" s="34"/>
    </row>
    <row r="18" spans="1:7" ht="16.5" customHeight="1" x14ac:dyDescent="0.35">
      <c r="A18" s="35" t="s">
        <v>131</v>
      </c>
      <c r="B18" s="56"/>
      <c r="D18" s="35" t="s">
        <v>117</v>
      </c>
      <c r="E18" s="56"/>
    </row>
    <row r="19" spans="1:7" ht="16.5" customHeight="1" x14ac:dyDescent="0.35">
      <c r="A19" s="35" t="s">
        <v>132</v>
      </c>
      <c r="B19" s="56"/>
      <c r="D19" s="35" t="s">
        <v>133</v>
      </c>
      <c r="E19" s="56"/>
    </row>
    <row r="21" spans="1:7" ht="19.5" customHeight="1" x14ac:dyDescent="0.35">
      <c r="A21" s="37" t="s">
        <v>134</v>
      </c>
      <c r="B21" s="37" t="s">
        <v>135</v>
      </c>
      <c r="C21" s="37" t="s">
        <v>136</v>
      </c>
      <c r="D21" s="37" t="s">
        <v>137</v>
      </c>
      <c r="E21" s="37" t="s">
        <v>138</v>
      </c>
    </row>
    <row r="22" spans="1:7" ht="16.5" customHeight="1" x14ac:dyDescent="0.35">
      <c r="A22" s="35" t="s">
        <v>139</v>
      </c>
      <c r="B22" s="57">
        <v>0.2</v>
      </c>
      <c r="C22" s="58">
        <v>3</v>
      </c>
      <c r="D22" s="61">
        <f t="shared" ref="D22:D28" si="0">B22*C22</f>
        <v>0.60000000000000009</v>
      </c>
      <c r="E22" s="35"/>
    </row>
    <row r="23" spans="1:7" ht="16.5" customHeight="1" x14ac:dyDescent="0.35">
      <c r="A23" s="35" t="s">
        <v>140</v>
      </c>
      <c r="B23" s="57">
        <v>0.2</v>
      </c>
      <c r="C23" s="58">
        <v>3</v>
      </c>
      <c r="D23" s="61">
        <f t="shared" si="0"/>
        <v>0.60000000000000009</v>
      </c>
      <c r="E23" s="35"/>
    </row>
    <row r="24" spans="1:7" ht="16.5" customHeight="1" x14ac:dyDescent="0.35">
      <c r="A24" s="35" t="s">
        <v>141</v>
      </c>
      <c r="B24" s="57">
        <v>0.15</v>
      </c>
      <c r="C24" s="58">
        <v>3</v>
      </c>
      <c r="D24" s="61">
        <f t="shared" si="0"/>
        <v>0.44999999999999996</v>
      </c>
      <c r="E24" s="35"/>
    </row>
    <row r="25" spans="1:7" ht="16.5" customHeight="1" x14ac:dyDescent="0.35">
      <c r="A25" s="35" t="s">
        <v>142</v>
      </c>
      <c r="B25" s="57">
        <v>0.15</v>
      </c>
      <c r="C25" s="58">
        <v>3</v>
      </c>
      <c r="D25" s="61">
        <f t="shared" si="0"/>
        <v>0.44999999999999996</v>
      </c>
      <c r="E25" s="35"/>
    </row>
    <row r="26" spans="1:7" ht="16.5" customHeight="1" x14ac:dyDescent="0.35">
      <c r="A26" s="35" t="s">
        <v>143</v>
      </c>
      <c r="B26" s="57">
        <v>0.1</v>
      </c>
      <c r="C26" s="58">
        <v>3</v>
      </c>
      <c r="D26" s="61">
        <f t="shared" si="0"/>
        <v>0.30000000000000004</v>
      </c>
      <c r="E26" s="35"/>
    </row>
    <row r="27" spans="1:7" ht="16.5" customHeight="1" x14ac:dyDescent="0.35">
      <c r="A27" s="35" t="s">
        <v>144</v>
      </c>
      <c r="B27" s="57">
        <v>0.1</v>
      </c>
      <c r="C27" s="58">
        <v>3</v>
      </c>
      <c r="D27" s="61">
        <f t="shared" si="0"/>
        <v>0.30000000000000004</v>
      </c>
      <c r="E27" s="35"/>
    </row>
    <row r="28" spans="1:7" ht="16.5" customHeight="1" x14ac:dyDescent="0.35">
      <c r="A28" s="35" t="s">
        <v>145</v>
      </c>
      <c r="B28" s="57">
        <v>0.1</v>
      </c>
      <c r="C28" s="58">
        <v>3</v>
      </c>
      <c r="D28" s="61">
        <f t="shared" si="0"/>
        <v>0.30000000000000004</v>
      </c>
      <c r="E28" s="35"/>
    </row>
    <row r="29" spans="1:7" ht="19.5" customHeight="1" x14ac:dyDescent="0.35">
      <c r="A29" s="41" t="s">
        <v>146</v>
      </c>
      <c r="B29" s="59" t="s">
        <v>147</v>
      </c>
      <c r="C29" s="62">
        <f>SUM(C22:C28)/COUNT(C22:C28)</f>
        <v>3</v>
      </c>
      <c r="D29" s="62">
        <f>SUM(D22:D28)</f>
        <v>3</v>
      </c>
    </row>
    <row r="30" spans="1:7" ht="15.75" customHeight="1" x14ac:dyDescent="0.35">
      <c r="A30" s="60" t="s">
        <v>148</v>
      </c>
      <c r="B30" s="60"/>
      <c r="C30" s="60"/>
      <c r="D30" s="60"/>
      <c r="E30" s="60"/>
      <c r="F30" s="60"/>
      <c r="G30" s="60"/>
    </row>
    <row r="32" spans="1:7" ht="21.75" customHeight="1" x14ac:dyDescent="0.35">
      <c r="A32" s="34" t="s">
        <v>149</v>
      </c>
      <c r="B32" s="34"/>
      <c r="C32" s="34"/>
      <c r="D32" s="34"/>
      <c r="E32" s="34"/>
      <c r="F32" s="34"/>
      <c r="G32" s="34"/>
    </row>
    <row r="33" spans="1:7" ht="19.5" customHeight="1" x14ac:dyDescent="0.35">
      <c r="A33" s="37" t="s">
        <v>150</v>
      </c>
      <c r="B33" s="37" t="s">
        <v>151</v>
      </c>
      <c r="C33" s="37" t="s">
        <v>152</v>
      </c>
      <c r="D33" s="37" t="s">
        <v>153</v>
      </c>
      <c r="E33" s="37" t="s">
        <v>154</v>
      </c>
      <c r="F33" s="37" t="s">
        <v>155</v>
      </c>
      <c r="G33" s="37" t="s">
        <v>138</v>
      </c>
    </row>
    <row r="34" spans="1:7" ht="15.75" customHeight="1" x14ac:dyDescent="0.35">
      <c r="A34" s="35" t="s">
        <v>156</v>
      </c>
      <c r="B34" s="35" t="s">
        <v>157</v>
      </c>
      <c r="C34" s="39">
        <v>3000</v>
      </c>
      <c r="D34" s="39">
        <v>500</v>
      </c>
      <c r="E34" s="39">
        <v>400</v>
      </c>
      <c r="F34" s="49">
        <f t="shared" ref="F34:F39" si="1">C34+D34+E34</f>
        <v>3900</v>
      </c>
      <c r="G34" s="35"/>
    </row>
    <row r="35" spans="1:7" ht="15.75" customHeight="1" x14ac:dyDescent="0.35">
      <c r="A35" s="35" t="s">
        <v>158</v>
      </c>
      <c r="B35" s="35" t="s">
        <v>159</v>
      </c>
      <c r="C35" s="39">
        <v>4000</v>
      </c>
      <c r="D35" s="39">
        <v>800</v>
      </c>
      <c r="E35" s="39">
        <v>400</v>
      </c>
      <c r="F35" s="49">
        <f t="shared" si="1"/>
        <v>5200</v>
      </c>
      <c r="G35" s="35"/>
    </row>
    <row r="36" spans="1:7" ht="15.75" customHeight="1" x14ac:dyDescent="0.35">
      <c r="A36" s="35" t="s">
        <v>160</v>
      </c>
      <c r="B36" s="35" t="s">
        <v>161</v>
      </c>
      <c r="C36" s="39">
        <v>5500</v>
      </c>
      <c r="D36" s="39">
        <v>1100</v>
      </c>
      <c r="E36" s="39">
        <v>500</v>
      </c>
      <c r="F36" s="49">
        <f t="shared" si="1"/>
        <v>7100</v>
      </c>
      <c r="G36" s="35"/>
    </row>
    <row r="37" spans="1:7" ht="15.75" customHeight="1" x14ac:dyDescent="0.35">
      <c r="A37" s="35" t="s">
        <v>162</v>
      </c>
      <c r="B37" s="35" t="s">
        <v>163</v>
      </c>
      <c r="C37" s="39">
        <v>7000</v>
      </c>
      <c r="D37" s="39">
        <v>1500</v>
      </c>
      <c r="E37" s="39">
        <v>600</v>
      </c>
      <c r="F37" s="49">
        <f t="shared" si="1"/>
        <v>9100</v>
      </c>
      <c r="G37" s="35"/>
    </row>
    <row r="38" spans="1:7" ht="15.75" customHeight="1" x14ac:dyDescent="0.35">
      <c r="A38" s="35" t="s">
        <v>164</v>
      </c>
      <c r="B38" s="35" t="s">
        <v>165</v>
      </c>
      <c r="C38" s="39">
        <v>10000</v>
      </c>
      <c r="D38" s="39">
        <v>2000</v>
      </c>
      <c r="E38" s="39">
        <v>800</v>
      </c>
      <c r="F38" s="49">
        <f t="shared" si="1"/>
        <v>12800</v>
      </c>
      <c r="G38" s="35"/>
    </row>
    <row r="39" spans="1:7" ht="15.75" customHeight="1" x14ac:dyDescent="0.35">
      <c r="A39" s="35" t="s">
        <v>166</v>
      </c>
      <c r="B39" s="35" t="s">
        <v>167</v>
      </c>
      <c r="C39" s="39">
        <v>15000</v>
      </c>
      <c r="D39" s="39">
        <v>3000</v>
      </c>
      <c r="E39" s="39">
        <v>1000</v>
      </c>
      <c r="F39" s="49">
        <f t="shared" si="1"/>
        <v>19000</v>
      </c>
      <c r="G39" s="35"/>
    </row>
    <row r="41" spans="1:7" x14ac:dyDescent="0.35">
      <c r="A41" s="43" t="s">
        <v>110</v>
      </c>
    </row>
    <row r="42" spans="1:7" ht="12.75" customHeight="1" x14ac:dyDescent="0.35">
      <c r="A42" s="44" t="s">
        <v>111</v>
      </c>
    </row>
    <row r="43" spans="1:7" ht="12.75" customHeight="1" x14ac:dyDescent="0.35">
      <c r="A43" s="45" t="s">
        <v>112</v>
      </c>
    </row>
    <row r="44" spans="1:7" ht="12.75" customHeight="1" x14ac:dyDescent="0.35">
      <c r="A44" s="46" t="s">
        <v>113</v>
      </c>
    </row>
    <row r="45" spans="1:7" ht="12.75" customHeight="1" x14ac:dyDescent="0.35">
      <c r="A45" s="47" t="s">
        <v>114</v>
      </c>
    </row>
  </sheetData>
  <sheetProtection algorithmName="SHA-512" hashValue="6yTENFdBrA+38s1havHOWwNmMzUUuJ+LyTWr2ymvMNb2vpFUnmQz42/XV+OkKiYk0QEqOHKKVp7b45AJGy2X9w==" saltValue="y5yUthsWKuawF8Vxv/OZXQ==" spinCount="100000" sheet="1" objects="1" scenarios="1"/>
  <mergeCells count="17">
    <mergeCell ref="A30:G30"/>
    <mergeCell ref="A32:G32"/>
    <mergeCell ref="B12:G12"/>
    <mergeCell ref="B13:G13"/>
    <mergeCell ref="B14:G14"/>
    <mergeCell ref="B15:G15"/>
    <mergeCell ref="A17:G17"/>
    <mergeCell ref="B7:G7"/>
    <mergeCell ref="B8:G8"/>
    <mergeCell ref="B9:G9"/>
    <mergeCell ref="B10:G10"/>
    <mergeCell ref="B11:G11"/>
    <mergeCell ref="A1:G1"/>
    <mergeCell ref="A3:G3"/>
    <mergeCell ref="B4:G4"/>
    <mergeCell ref="B5:G5"/>
    <mergeCell ref="B6:G6"/>
  </mergeCells>
  <pageMargins left="0.75" right="0.75" top="1" bottom="1" header="0.511811023622047" footer="0.511811023622047"/>
  <pageSetup paperSize="9" orientation="portrait" horizontalDpi="300" verticalDpi="300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E44"/>
  <sheetViews>
    <sheetView rightToLeft="1" topLeftCell="A10" zoomScale="83" zoomScaleNormal="100" workbookViewId="0">
      <selection sqref="A1:E1"/>
    </sheetView>
  </sheetViews>
  <sheetFormatPr defaultColWidth="8.6328125" defaultRowHeight="14.5" x14ac:dyDescent="0.35"/>
  <cols>
    <col min="1" max="1" width="30" customWidth="1"/>
    <col min="2" max="5" width="16" customWidth="1"/>
  </cols>
  <sheetData>
    <row r="1" spans="1:5" ht="30" customHeight="1" x14ac:dyDescent="0.35">
      <c r="A1" s="2" t="s">
        <v>168</v>
      </c>
      <c r="B1" s="2"/>
      <c r="C1" s="2"/>
      <c r="D1" s="2"/>
      <c r="E1" s="2"/>
    </row>
    <row r="2" spans="1:5" ht="18" customHeight="1" x14ac:dyDescent="0.35">
      <c r="A2" s="1" t="s">
        <v>169</v>
      </c>
      <c r="B2" s="1"/>
      <c r="C2" s="1"/>
      <c r="D2" s="1"/>
      <c r="E2" s="1"/>
    </row>
    <row r="4" spans="1:5" ht="21.75" customHeight="1" x14ac:dyDescent="0.35">
      <c r="A4" s="6" t="s">
        <v>170</v>
      </c>
      <c r="B4" s="6"/>
      <c r="C4" s="6"/>
      <c r="D4" s="6"/>
      <c r="E4" s="6"/>
    </row>
    <row r="5" spans="1:5" ht="19.5" customHeight="1" x14ac:dyDescent="0.35">
      <c r="A5" s="13" t="s">
        <v>171</v>
      </c>
      <c r="B5" s="5" t="s">
        <v>17</v>
      </c>
      <c r="C5" s="5"/>
      <c r="D5" s="5"/>
      <c r="E5" s="5"/>
    </row>
    <row r="6" spans="1:5" ht="19.5" customHeight="1" x14ac:dyDescent="0.35">
      <c r="A6" s="13" t="s">
        <v>172</v>
      </c>
      <c r="B6" s="5" t="s">
        <v>17</v>
      </c>
      <c r="C6" s="5"/>
      <c r="D6" s="5"/>
      <c r="E6" s="5"/>
    </row>
    <row r="7" spans="1:5" ht="19.5" customHeight="1" x14ac:dyDescent="0.35">
      <c r="A7" s="13" t="s">
        <v>173</v>
      </c>
      <c r="B7" s="5" t="s">
        <v>17</v>
      </c>
      <c r="C7" s="5"/>
      <c r="D7" s="5"/>
      <c r="E7" s="5"/>
    </row>
    <row r="8" spans="1:5" ht="19.5" customHeight="1" x14ac:dyDescent="0.35">
      <c r="A8" s="13" t="s">
        <v>174</v>
      </c>
      <c r="B8" s="5" t="s">
        <v>17</v>
      </c>
      <c r="C8" s="5"/>
      <c r="D8" s="5"/>
      <c r="E8" s="5"/>
    </row>
    <row r="10" spans="1:5" ht="21.75" customHeight="1" x14ac:dyDescent="0.35">
      <c r="A10" s="6" t="s">
        <v>175</v>
      </c>
      <c r="B10" s="6"/>
      <c r="C10" s="6"/>
      <c r="D10" s="6"/>
      <c r="E10" s="6"/>
    </row>
    <row r="11" spans="1:5" ht="19.5" customHeight="1" x14ac:dyDescent="0.35">
      <c r="A11" s="13" t="s">
        <v>176</v>
      </c>
      <c r="B11" s="5" t="s">
        <v>17</v>
      </c>
      <c r="C11" s="5"/>
      <c r="D11" s="5"/>
      <c r="E11" s="5"/>
    </row>
    <row r="12" spans="1:5" ht="19.5" customHeight="1" x14ac:dyDescent="0.35">
      <c r="A12" s="13" t="s">
        <v>177</v>
      </c>
      <c r="B12" s="5" t="s">
        <v>17</v>
      </c>
      <c r="C12" s="5"/>
      <c r="D12" s="5"/>
      <c r="E12" s="5"/>
    </row>
    <row r="13" spans="1:5" ht="19.5" customHeight="1" x14ac:dyDescent="0.35">
      <c r="A13" s="13" t="s">
        <v>178</v>
      </c>
      <c r="B13" s="5" t="s">
        <v>17</v>
      </c>
      <c r="C13" s="5"/>
      <c r="D13" s="5"/>
      <c r="E13" s="5"/>
    </row>
    <row r="14" spans="1:5" ht="19.5" customHeight="1" x14ac:dyDescent="0.35">
      <c r="A14" s="13" t="s">
        <v>179</v>
      </c>
      <c r="B14" s="5" t="s">
        <v>17</v>
      </c>
      <c r="C14" s="5"/>
      <c r="D14" s="5"/>
      <c r="E14" s="5"/>
    </row>
    <row r="15" spans="1:5" ht="19.5" customHeight="1" x14ac:dyDescent="0.35">
      <c r="A15" s="13" t="s">
        <v>180</v>
      </c>
      <c r="B15" s="5" t="s">
        <v>17</v>
      </c>
      <c r="C15" s="5"/>
      <c r="D15" s="5"/>
      <c r="E15" s="5"/>
    </row>
    <row r="16" spans="1:5" ht="19.5" customHeight="1" x14ac:dyDescent="0.35">
      <c r="A16" s="13" t="s">
        <v>181</v>
      </c>
      <c r="B16" s="5" t="s">
        <v>17</v>
      </c>
      <c r="C16" s="5"/>
      <c r="D16" s="5"/>
      <c r="E16" s="5"/>
    </row>
    <row r="18" spans="1:5" ht="21.75" customHeight="1" x14ac:dyDescent="0.35">
      <c r="A18" s="6" t="s">
        <v>182</v>
      </c>
      <c r="B18" s="6"/>
      <c r="C18" s="6"/>
      <c r="D18" s="6"/>
      <c r="E18" s="6"/>
    </row>
    <row r="19" spans="1:5" ht="19.5" customHeight="1" x14ac:dyDescent="0.35">
      <c r="A19" s="13" t="s">
        <v>117</v>
      </c>
      <c r="B19" s="5" t="s">
        <v>17</v>
      </c>
      <c r="C19" s="5"/>
      <c r="D19" s="5"/>
      <c r="E19" s="5"/>
    </row>
    <row r="20" spans="1:5" ht="19.5" customHeight="1" x14ac:dyDescent="0.35">
      <c r="A20" s="13" t="s">
        <v>183</v>
      </c>
      <c r="B20" s="5" t="s">
        <v>17</v>
      </c>
      <c r="C20" s="5"/>
      <c r="D20" s="5"/>
      <c r="E20" s="5"/>
    </row>
    <row r="21" spans="1:5" ht="19.5" customHeight="1" x14ac:dyDescent="0.35">
      <c r="A21" s="13" t="s">
        <v>184</v>
      </c>
      <c r="B21" s="4" t="s">
        <v>185</v>
      </c>
      <c r="C21" s="4"/>
      <c r="D21" s="4"/>
      <c r="E21" s="4"/>
    </row>
    <row r="22" spans="1:5" ht="19.5" customHeight="1" x14ac:dyDescent="0.35">
      <c r="A22" s="13" t="s">
        <v>186</v>
      </c>
      <c r="B22" s="5" t="s">
        <v>17</v>
      </c>
      <c r="C22" s="5"/>
      <c r="D22" s="5"/>
      <c r="E22" s="5"/>
    </row>
    <row r="23" spans="1:5" ht="19.5" customHeight="1" x14ac:dyDescent="0.35">
      <c r="A23" s="13" t="s">
        <v>187</v>
      </c>
      <c r="B23" s="5" t="s">
        <v>17</v>
      </c>
      <c r="C23" s="5"/>
      <c r="D23" s="5"/>
      <c r="E23" s="5"/>
    </row>
    <row r="24" spans="1:5" ht="19.5" customHeight="1" x14ac:dyDescent="0.35">
      <c r="A24" s="13" t="s">
        <v>153</v>
      </c>
      <c r="B24" s="5" t="s">
        <v>17</v>
      </c>
      <c r="C24" s="5"/>
      <c r="D24" s="5"/>
      <c r="E24" s="5"/>
    </row>
    <row r="25" spans="1:5" ht="19.5" customHeight="1" x14ac:dyDescent="0.35">
      <c r="A25" s="13" t="s">
        <v>154</v>
      </c>
      <c r="B25" s="5" t="s">
        <v>17</v>
      </c>
      <c r="C25" s="5"/>
      <c r="D25" s="5"/>
      <c r="E25" s="5"/>
    </row>
    <row r="26" spans="1:5" ht="19.5" customHeight="1" x14ac:dyDescent="0.35">
      <c r="A26" s="13" t="s">
        <v>188</v>
      </c>
      <c r="B26" s="5" t="s">
        <v>17</v>
      </c>
      <c r="C26" s="5"/>
      <c r="D26" s="5"/>
      <c r="E26" s="5"/>
    </row>
    <row r="27" spans="1:5" ht="19.5" customHeight="1" x14ac:dyDescent="0.35">
      <c r="A27" s="13" t="s">
        <v>189</v>
      </c>
      <c r="B27" s="4" t="s">
        <v>190</v>
      </c>
      <c r="C27" s="4"/>
      <c r="D27" s="4"/>
      <c r="E27" s="4"/>
    </row>
    <row r="28" spans="1:5" ht="19.5" customHeight="1" x14ac:dyDescent="0.35">
      <c r="A28" s="13" t="s">
        <v>191</v>
      </c>
      <c r="B28" s="4" t="s">
        <v>192</v>
      </c>
      <c r="C28" s="4"/>
      <c r="D28" s="4"/>
      <c r="E28" s="4"/>
    </row>
    <row r="29" spans="1:5" ht="19.5" customHeight="1" x14ac:dyDescent="0.35">
      <c r="A29" s="13" t="s">
        <v>193</v>
      </c>
      <c r="B29" s="4" t="s">
        <v>194</v>
      </c>
      <c r="C29" s="4"/>
      <c r="D29" s="4"/>
      <c r="E29" s="4"/>
    </row>
    <row r="30" spans="1:5" ht="19.5" customHeight="1" x14ac:dyDescent="0.35">
      <c r="A30" s="13" t="s">
        <v>195</v>
      </c>
      <c r="B30" s="4" t="s">
        <v>160</v>
      </c>
      <c r="C30" s="4"/>
      <c r="D30" s="4"/>
      <c r="E30" s="4"/>
    </row>
    <row r="31" spans="1:5" ht="19.5" customHeight="1" x14ac:dyDescent="0.35">
      <c r="A31" s="13" t="s">
        <v>196</v>
      </c>
      <c r="B31" s="5" t="s">
        <v>17</v>
      </c>
      <c r="C31" s="5"/>
      <c r="D31" s="5"/>
      <c r="E31" s="5"/>
    </row>
    <row r="33" spans="1:5" ht="21.75" customHeight="1" x14ac:dyDescent="0.35">
      <c r="A33" s="6" t="s">
        <v>197</v>
      </c>
      <c r="B33" s="6"/>
      <c r="C33" s="6"/>
      <c r="D33" s="6"/>
      <c r="E33" s="6"/>
    </row>
    <row r="34" spans="1:5" ht="19.5" customHeight="1" x14ac:dyDescent="0.35">
      <c r="A34" s="13" t="s">
        <v>198</v>
      </c>
      <c r="B34" s="4" t="s">
        <v>199</v>
      </c>
      <c r="C34" s="4"/>
      <c r="D34" s="4"/>
      <c r="E34" s="4"/>
    </row>
    <row r="35" spans="1:5" ht="19.5" customHeight="1" x14ac:dyDescent="0.35">
      <c r="A35" s="13" t="s">
        <v>200</v>
      </c>
      <c r="B35" s="5" t="s">
        <v>17</v>
      </c>
      <c r="C35" s="5"/>
      <c r="D35" s="5"/>
      <c r="E35" s="5"/>
    </row>
    <row r="36" spans="1:5" ht="19.5" customHeight="1" x14ac:dyDescent="0.35">
      <c r="A36" s="13" t="s">
        <v>201</v>
      </c>
      <c r="B36" s="4" t="s">
        <v>202</v>
      </c>
      <c r="C36" s="4"/>
      <c r="D36" s="4"/>
      <c r="E36" s="4"/>
    </row>
    <row r="37" spans="1:5" ht="19.5" customHeight="1" x14ac:dyDescent="0.35">
      <c r="A37" s="13" t="s">
        <v>203</v>
      </c>
      <c r="B37" s="4" t="s">
        <v>204</v>
      </c>
      <c r="C37" s="4"/>
      <c r="D37" s="4"/>
      <c r="E37" s="4"/>
    </row>
    <row r="38" spans="1:5" ht="19.5" customHeight="1" x14ac:dyDescent="0.35">
      <c r="A38" s="13" t="s">
        <v>205</v>
      </c>
      <c r="B38" s="4" t="s">
        <v>206</v>
      </c>
      <c r="C38" s="4"/>
      <c r="D38" s="4"/>
      <c r="E38" s="4"/>
    </row>
    <row r="40" spans="1:5" ht="21.75" customHeight="1" x14ac:dyDescent="0.35">
      <c r="A40" s="3" t="s">
        <v>207</v>
      </c>
      <c r="B40" s="3"/>
      <c r="C40" s="3"/>
      <c r="D40" s="3"/>
      <c r="E40" s="3"/>
    </row>
    <row r="41" spans="1:5" ht="19.5" customHeight="1" x14ac:dyDescent="0.35">
      <c r="A41" s="30" t="s">
        <v>208</v>
      </c>
      <c r="B41" s="30"/>
      <c r="D41" s="30" t="s">
        <v>209</v>
      </c>
      <c r="E41" s="30"/>
    </row>
    <row r="42" spans="1:5" ht="19.5" customHeight="1" x14ac:dyDescent="0.35">
      <c r="A42" s="30"/>
      <c r="B42" s="30"/>
      <c r="D42" s="30"/>
      <c r="E42" s="30"/>
    </row>
    <row r="43" spans="1:5" ht="19.5" customHeight="1" x14ac:dyDescent="0.35">
      <c r="A43" s="30"/>
      <c r="B43" s="30"/>
      <c r="D43" s="30"/>
      <c r="E43" s="30"/>
    </row>
    <row r="44" spans="1:5" ht="19.5" customHeight="1" x14ac:dyDescent="0.35">
      <c r="A44" s="30"/>
      <c r="B44" s="30"/>
      <c r="D44" s="30"/>
      <c r="E44" s="30"/>
    </row>
  </sheetData>
  <mergeCells count="37">
    <mergeCell ref="A41:B44"/>
    <mergeCell ref="D41:E44"/>
    <mergeCell ref="B35:E35"/>
    <mergeCell ref="B36:E36"/>
    <mergeCell ref="B37:E37"/>
    <mergeCell ref="B38:E38"/>
    <mergeCell ref="A40:E40"/>
    <mergeCell ref="B29:E29"/>
    <mergeCell ref="B30:E30"/>
    <mergeCell ref="B31:E31"/>
    <mergeCell ref="A33:E33"/>
    <mergeCell ref="B34:E34"/>
    <mergeCell ref="B24:E24"/>
    <mergeCell ref="B25:E25"/>
    <mergeCell ref="B26:E26"/>
    <mergeCell ref="B27:E27"/>
    <mergeCell ref="B28:E28"/>
    <mergeCell ref="B19:E19"/>
    <mergeCell ref="B20:E20"/>
    <mergeCell ref="B21:E21"/>
    <mergeCell ref="B22:E22"/>
    <mergeCell ref="B23:E23"/>
    <mergeCell ref="B13:E13"/>
    <mergeCell ref="B14:E14"/>
    <mergeCell ref="B15:E15"/>
    <mergeCell ref="B16:E16"/>
    <mergeCell ref="A18:E18"/>
    <mergeCell ref="B7:E7"/>
    <mergeCell ref="B8:E8"/>
    <mergeCell ref="A10:E10"/>
    <mergeCell ref="B11:E11"/>
    <mergeCell ref="B12:E12"/>
    <mergeCell ref="A1:E1"/>
    <mergeCell ref="A2:E2"/>
    <mergeCell ref="A4:E4"/>
    <mergeCell ref="B5:E5"/>
    <mergeCell ref="B6:E6"/>
  </mergeCells>
  <pageMargins left="0.75" right="0.75" top="1" bottom="1" header="0.511811023622047" footer="0.511811023622047"/>
  <pageSetup paperSize="9" orientation="portrait" horizontalDpi="300" verticalDpi="300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H29"/>
  <sheetViews>
    <sheetView rightToLeft="1" zoomScale="77" zoomScaleNormal="100" workbookViewId="0">
      <selection activeCell="H23" sqref="H23"/>
    </sheetView>
  </sheetViews>
  <sheetFormatPr defaultColWidth="8.6328125" defaultRowHeight="14.5" x14ac:dyDescent="0.35"/>
  <cols>
    <col min="1" max="1" width="36" customWidth="1"/>
    <col min="2" max="2" width="18" customWidth="1"/>
    <col min="3" max="8" width="12" customWidth="1"/>
  </cols>
  <sheetData>
    <row r="1" spans="1:8" ht="30" customHeight="1" x14ac:dyDescent="0.35">
      <c r="A1" s="7" t="s">
        <v>210</v>
      </c>
      <c r="B1" s="7"/>
      <c r="C1" s="7"/>
      <c r="D1" s="7"/>
      <c r="E1" s="7"/>
      <c r="F1" s="7"/>
      <c r="G1" s="7"/>
    </row>
    <row r="2" spans="1:8" ht="19.5" customHeight="1" x14ac:dyDescent="0.35">
      <c r="A2" s="15" t="s">
        <v>211</v>
      </c>
      <c r="B2" s="15" t="s">
        <v>212</v>
      </c>
      <c r="C2" s="23" t="s">
        <v>213</v>
      </c>
      <c r="D2" s="23" t="s">
        <v>214</v>
      </c>
      <c r="E2" s="23" t="s">
        <v>215</v>
      </c>
      <c r="F2" s="23" t="s">
        <v>216</v>
      </c>
      <c r="G2" s="23" t="s">
        <v>217</v>
      </c>
      <c r="H2" s="23" t="s">
        <v>218</v>
      </c>
    </row>
    <row r="3" spans="1:8" ht="21.75" customHeight="1" x14ac:dyDescent="0.35">
      <c r="A3" s="6" t="s">
        <v>219</v>
      </c>
      <c r="B3" s="6"/>
      <c r="C3" s="6"/>
      <c r="D3" s="6"/>
      <c r="E3" s="6"/>
      <c r="F3" s="6"/>
      <c r="G3" s="6"/>
      <c r="H3" s="6"/>
    </row>
    <row r="4" spans="1:8" ht="16.5" customHeight="1" x14ac:dyDescent="0.35">
      <c r="A4" s="14" t="s">
        <v>220</v>
      </c>
      <c r="B4" s="16">
        <v>50000</v>
      </c>
      <c r="C4" s="16">
        <v>0</v>
      </c>
      <c r="D4" s="16">
        <v>0</v>
      </c>
      <c r="E4" s="16">
        <v>0</v>
      </c>
      <c r="F4" s="16">
        <v>0</v>
      </c>
      <c r="G4" s="16">
        <v>0</v>
      </c>
      <c r="H4" s="16">
        <v>0</v>
      </c>
    </row>
    <row r="5" spans="1:8" ht="16.5" customHeight="1" x14ac:dyDescent="0.35">
      <c r="A5" s="14" t="s">
        <v>221</v>
      </c>
      <c r="B5" s="16">
        <v>20</v>
      </c>
      <c r="C5" s="16">
        <v>0</v>
      </c>
      <c r="D5" s="16">
        <v>0</v>
      </c>
      <c r="E5" s="16">
        <v>0</v>
      </c>
      <c r="F5" s="16">
        <v>0</v>
      </c>
      <c r="G5" s="16">
        <v>0</v>
      </c>
      <c r="H5" s="16">
        <v>0</v>
      </c>
    </row>
    <row r="6" spans="1:8" ht="16.5" customHeight="1" x14ac:dyDescent="0.35">
      <c r="A6" s="14" t="s">
        <v>222</v>
      </c>
      <c r="B6" s="16">
        <v>2500</v>
      </c>
      <c r="C6" s="16">
        <v>0</v>
      </c>
      <c r="D6" s="16">
        <v>0</v>
      </c>
      <c r="E6" s="16">
        <v>0</v>
      </c>
      <c r="F6" s="16">
        <v>0</v>
      </c>
      <c r="G6" s="16">
        <v>0</v>
      </c>
      <c r="H6" s="16">
        <v>0</v>
      </c>
    </row>
    <row r="7" spans="1:8" ht="16.5" customHeight="1" x14ac:dyDescent="0.35">
      <c r="A7" s="14" t="s">
        <v>223</v>
      </c>
      <c r="B7" s="24">
        <v>0.15</v>
      </c>
      <c r="C7" s="24">
        <v>0</v>
      </c>
      <c r="D7" s="24">
        <v>0</v>
      </c>
      <c r="E7" s="24">
        <v>0</v>
      </c>
      <c r="F7" s="24">
        <v>0</v>
      </c>
      <c r="G7" s="24">
        <v>0</v>
      </c>
      <c r="H7" s="24">
        <v>0</v>
      </c>
    </row>
    <row r="9" spans="1:8" ht="21.75" customHeight="1" x14ac:dyDescent="0.35">
      <c r="A9" s="6" t="s">
        <v>224</v>
      </c>
      <c r="B9" s="6"/>
      <c r="C9" s="6"/>
      <c r="D9" s="6"/>
      <c r="E9" s="6"/>
      <c r="F9" s="6"/>
      <c r="G9" s="6"/>
      <c r="H9" s="6"/>
    </row>
    <row r="10" spans="1:8" ht="16.5" customHeight="1" x14ac:dyDescent="0.35">
      <c r="A10" s="14" t="s">
        <v>225</v>
      </c>
      <c r="B10" s="25">
        <v>8</v>
      </c>
      <c r="C10" s="25">
        <v>0</v>
      </c>
      <c r="D10" s="25">
        <v>0</v>
      </c>
      <c r="E10" s="25">
        <v>0</v>
      </c>
      <c r="F10" s="25">
        <v>0</v>
      </c>
      <c r="G10" s="25">
        <v>0</v>
      </c>
      <c r="H10" s="25">
        <v>0</v>
      </c>
    </row>
    <row r="11" spans="1:8" ht="16.5" customHeight="1" x14ac:dyDescent="0.35">
      <c r="A11" s="14" t="s">
        <v>226</v>
      </c>
      <c r="B11" s="25">
        <v>3</v>
      </c>
      <c r="C11" s="25">
        <v>0</v>
      </c>
      <c r="D11" s="25">
        <v>0</v>
      </c>
      <c r="E11" s="25">
        <v>0</v>
      </c>
      <c r="F11" s="25">
        <v>0</v>
      </c>
      <c r="G11" s="25">
        <v>0</v>
      </c>
      <c r="H11" s="25">
        <v>0</v>
      </c>
    </row>
    <row r="12" spans="1:8" ht="16.5" customHeight="1" x14ac:dyDescent="0.35">
      <c r="A12" s="14" t="s">
        <v>227</v>
      </c>
      <c r="B12" s="24">
        <v>0.02</v>
      </c>
      <c r="C12" s="24">
        <v>0</v>
      </c>
      <c r="D12" s="24">
        <v>0</v>
      </c>
      <c r="E12" s="24">
        <v>0</v>
      </c>
      <c r="F12" s="24">
        <v>0</v>
      </c>
      <c r="G12" s="24">
        <v>0</v>
      </c>
      <c r="H12" s="24">
        <v>0</v>
      </c>
    </row>
    <row r="13" spans="1:8" ht="16.5" customHeight="1" x14ac:dyDescent="0.35">
      <c r="A13" s="14" t="s">
        <v>228</v>
      </c>
      <c r="B13" s="24">
        <v>0.8</v>
      </c>
      <c r="C13" s="24">
        <v>0</v>
      </c>
      <c r="D13" s="24">
        <v>0</v>
      </c>
      <c r="E13" s="24">
        <v>0</v>
      </c>
      <c r="F13" s="24">
        <v>0</v>
      </c>
      <c r="G13" s="24">
        <v>0</v>
      </c>
      <c r="H13" s="24">
        <v>0</v>
      </c>
    </row>
    <row r="15" spans="1:8" ht="21.75" customHeight="1" x14ac:dyDescent="0.35">
      <c r="A15" s="6" t="s">
        <v>229</v>
      </c>
      <c r="B15" s="6"/>
      <c r="C15" s="6"/>
      <c r="D15" s="6"/>
      <c r="E15" s="6"/>
      <c r="F15" s="6"/>
      <c r="G15" s="6"/>
      <c r="H15" s="6"/>
    </row>
    <row r="16" spans="1:8" ht="16.5" customHeight="1" x14ac:dyDescent="0.35">
      <c r="A16" s="14" t="s">
        <v>230</v>
      </c>
      <c r="B16" s="24">
        <v>0.1</v>
      </c>
      <c r="C16" s="24">
        <v>0</v>
      </c>
      <c r="D16" s="24">
        <v>0</v>
      </c>
      <c r="E16" s="24">
        <v>0</v>
      </c>
      <c r="F16" s="24">
        <v>0</v>
      </c>
      <c r="G16" s="24">
        <v>0</v>
      </c>
      <c r="H16" s="24">
        <v>0</v>
      </c>
    </row>
    <row r="17" spans="1:8" ht="16.5" customHeight="1" x14ac:dyDescent="0.35">
      <c r="A17" s="14" t="s">
        <v>231</v>
      </c>
      <c r="B17" s="25">
        <v>2</v>
      </c>
      <c r="C17" s="25">
        <v>0</v>
      </c>
      <c r="D17" s="25">
        <v>0</v>
      </c>
      <c r="E17" s="25">
        <v>0</v>
      </c>
      <c r="F17" s="25">
        <v>0</v>
      </c>
      <c r="G17" s="25">
        <v>0</v>
      </c>
      <c r="H17" s="25">
        <v>0</v>
      </c>
    </row>
    <row r="18" spans="1:8" ht="16.5" customHeight="1" x14ac:dyDescent="0.35">
      <c r="A18" s="14" t="s">
        <v>232</v>
      </c>
      <c r="B18" s="24">
        <v>0.85</v>
      </c>
      <c r="C18" s="24">
        <v>0</v>
      </c>
      <c r="D18" s="24">
        <v>0</v>
      </c>
      <c r="E18" s="24">
        <v>0</v>
      </c>
      <c r="F18" s="24">
        <v>0</v>
      </c>
      <c r="G18" s="24">
        <v>0</v>
      </c>
      <c r="H18" s="24">
        <v>0</v>
      </c>
    </row>
    <row r="20" spans="1:8" ht="21.75" customHeight="1" x14ac:dyDescent="0.35">
      <c r="A20" s="6" t="s">
        <v>233</v>
      </c>
      <c r="B20" s="6"/>
      <c r="C20" s="6"/>
      <c r="D20" s="6"/>
      <c r="E20" s="6"/>
      <c r="F20" s="6"/>
      <c r="G20" s="6"/>
      <c r="H20" s="6"/>
    </row>
    <row r="21" spans="1:8" ht="16.5" customHeight="1" x14ac:dyDescent="0.35">
      <c r="A21" s="14" t="s">
        <v>234</v>
      </c>
      <c r="B21" s="24">
        <v>0.4</v>
      </c>
      <c r="C21" s="24">
        <v>0</v>
      </c>
      <c r="D21" s="24">
        <v>0</v>
      </c>
      <c r="E21" s="24">
        <v>0</v>
      </c>
      <c r="F21" s="24">
        <v>0</v>
      </c>
      <c r="G21" s="24">
        <v>0</v>
      </c>
      <c r="H21" s="24">
        <v>0</v>
      </c>
    </row>
    <row r="22" spans="1:8" ht="16.5" customHeight="1" x14ac:dyDescent="0.35">
      <c r="A22" s="14" t="s">
        <v>235</v>
      </c>
      <c r="B22" s="24">
        <v>0.35</v>
      </c>
      <c r="C22" s="24">
        <v>0</v>
      </c>
      <c r="D22" s="24">
        <v>0</v>
      </c>
      <c r="E22" s="24">
        <v>0</v>
      </c>
      <c r="F22" s="24">
        <v>0</v>
      </c>
      <c r="G22" s="24">
        <v>0</v>
      </c>
      <c r="H22" s="24">
        <v>0</v>
      </c>
    </row>
    <row r="23" spans="1:8" ht="16.5" customHeight="1" x14ac:dyDescent="0.35">
      <c r="A23" s="14" t="s">
        <v>236</v>
      </c>
      <c r="B23" s="16">
        <v>8000</v>
      </c>
      <c r="C23" s="16">
        <v>0</v>
      </c>
      <c r="D23" s="16">
        <v>0</v>
      </c>
      <c r="E23" s="16">
        <v>0</v>
      </c>
      <c r="F23" s="16">
        <v>0</v>
      </c>
      <c r="G23" s="16">
        <v>0</v>
      </c>
      <c r="H23" s="16">
        <v>0</v>
      </c>
    </row>
    <row r="25" spans="1:8" x14ac:dyDescent="0.35">
      <c r="A25" s="17" t="s">
        <v>110</v>
      </c>
    </row>
    <row r="26" spans="1:8" ht="12.75" customHeight="1" x14ac:dyDescent="0.35">
      <c r="A26" s="18" t="s">
        <v>111</v>
      </c>
    </row>
    <row r="27" spans="1:8" ht="12.75" customHeight="1" x14ac:dyDescent="0.35">
      <c r="A27" s="19" t="s">
        <v>112</v>
      </c>
    </row>
    <row r="28" spans="1:8" ht="12.75" customHeight="1" x14ac:dyDescent="0.35">
      <c r="A28" s="20" t="s">
        <v>113</v>
      </c>
    </row>
    <row r="29" spans="1:8" ht="12.75" customHeight="1" x14ac:dyDescent="0.35">
      <c r="A29" s="21" t="s">
        <v>114</v>
      </c>
    </row>
  </sheetData>
  <mergeCells count="5">
    <mergeCell ref="A1:G1"/>
    <mergeCell ref="A3:H3"/>
    <mergeCell ref="A9:H9"/>
    <mergeCell ref="A15:H15"/>
    <mergeCell ref="A20:H20"/>
  </mergeCells>
  <pageMargins left="0.75" right="0.75" top="1" bottom="1" header="0.511811023622047" footer="0.511811023622047"/>
  <pageSetup paperSize="9" orientation="portrait" horizontalDpi="300" verticalDpi="300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O21"/>
  <sheetViews>
    <sheetView rightToLeft="1" zoomScale="80" zoomScaleNormal="100" workbookViewId="0">
      <selection activeCell="A15" sqref="A15:O15"/>
    </sheetView>
  </sheetViews>
  <sheetFormatPr defaultColWidth="8.6328125" defaultRowHeight="14.5" x14ac:dyDescent="0.35"/>
  <cols>
    <col min="1" max="1" width="32" customWidth="1"/>
    <col min="2" max="2" width="12" customWidth="1"/>
    <col min="3" max="3" width="10" customWidth="1"/>
    <col min="4" max="15" width="8" customWidth="1"/>
  </cols>
  <sheetData>
    <row r="1" spans="1:15" ht="30" customHeight="1" x14ac:dyDescent="0.35">
      <c r="A1" s="7" t="s">
        <v>237</v>
      </c>
      <c r="B1" s="7"/>
      <c r="C1" s="7"/>
      <c r="D1" s="7"/>
      <c r="E1" s="7"/>
      <c r="F1" s="7"/>
      <c r="G1" s="7"/>
      <c r="H1" s="7"/>
      <c r="I1" s="7"/>
      <c r="J1" s="7"/>
      <c r="K1" s="7"/>
      <c r="L1" s="7"/>
    </row>
    <row r="2" spans="1:15" ht="19.5" customHeight="1" x14ac:dyDescent="0.35">
      <c r="A2" s="15" t="s">
        <v>238</v>
      </c>
      <c r="B2" s="15" t="s">
        <v>239</v>
      </c>
      <c r="C2" s="15" t="s">
        <v>240</v>
      </c>
      <c r="D2" s="26" t="s">
        <v>213</v>
      </c>
      <c r="E2" s="26" t="s">
        <v>214</v>
      </c>
      <c r="F2" s="26" t="s">
        <v>215</v>
      </c>
      <c r="G2" s="26" t="s">
        <v>216</v>
      </c>
      <c r="H2" s="26" t="s">
        <v>217</v>
      </c>
      <c r="I2" s="26" t="s">
        <v>218</v>
      </c>
      <c r="J2" s="26" t="s">
        <v>241</v>
      </c>
      <c r="K2" s="26" t="s">
        <v>242</v>
      </c>
      <c r="L2" s="26" t="s">
        <v>243</v>
      </c>
      <c r="M2" s="26" t="s">
        <v>244</v>
      </c>
      <c r="N2" s="26" t="s">
        <v>245</v>
      </c>
      <c r="O2" s="26" t="s">
        <v>246</v>
      </c>
    </row>
    <row r="3" spans="1:15" ht="21.75" customHeight="1" x14ac:dyDescent="0.35">
      <c r="A3" s="6" t="s">
        <v>247</v>
      </c>
      <c r="B3" s="6"/>
      <c r="C3" s="6"/>
      <c r="D3" s="6"/>
      <c r="E3" s="6"/>
      <c r="F3" s="6"/>
      <c r="G3" s="6"/>
      <c r="H3" s="6"/>
      <c r="I3" s="6"/>
      <c r="J3" s="6"/>
      <c r="K3" s="6"/>
      <c r="L3" s="6"/>
      <c r="M3" s="6"/>
      <c r="N3" s="6"/>
      <c r="O3" s="6"/>
    </row>
    <row r="4" spans="1:15" ht="15.75" customHeight="1" x14ac:dyDescent="0.35">
      <c r="A4" s="14" t="s">
        <v>248</v>
      </c>
      <c r="B4" s="22" t="s">
        <v>249</v>
      </c>
      <c r="C4" s="27" t="s">
        <v>250</v>
      </c>
      <c r="D4" s="28"/>
      <c r="E4" s="28"/>
      <c r="F4" s="28"/>
      <c r="G4" s="28"/>
      <c r="H4" s="28"/>
      <c r="I4" s="28"/>
      <c r="J4" s="28"/>
      <c r="K4" s="28"/>
      <c r="L4" s="28"/>
      <c r="M4" s="28"/>
      <c r="N4" s="28"/>
      <c r="O4" s="28"/>
    </row>
    <row r="5" spans="1:15" ht="15.75" customHeight="1" x14ac:dyDescent="0.35">
      <c r="A5" s="14" t="s">
        <v>251</v>
      </c>
      <c r="B5" s="22" t="s">
        <v>249</v>
      </c>
      <c r="C5" s="27" t="s">
        <v>250</v>
      </c>
      <c r="D5" s="28"/>
      <c r="E5" s="28"/>
      <c r="F5" s="28"/>
      <c r="G5" s="28"/>
      <c r="H5" s="28"/>
      <c r="I5" s="28"/>
      <c r="J5" s="28"/>
      <c r="K5" s="28"/>
      <c r="L5" s="28"/>
      <c r="M5" s="28"/>
      <c r="N5" s="28"/>
      <c r="O5" s="28"/>
    </row>
    <row r="6" spans="1:15" ht="15.75" customHeight="1" x14ac:dyDescent="0.35">
      <c r="A6" s="14" t="s">
        <v>252</v>
      </c>
      <c r="B6" s="22" t="s">
        <v>253</v>
      </c>
      <c r="C6" s="27" t="s">
        <v>250</v>
      </c>
      <c r="D6" s="28"/>
      <c r="E6" s="28"/>
      <c r="F6" s="28"/>
      <c r="G6" s="28"/>
      <c r="H6" s="28"/>
      <c r="I6" s="28"/>
      <c r="J6" s="28"/>
      <c r="K6" s="28"/>
      <c r="L6" s="28"/>
      <c r="M6" s="28"/>
      <c r="N6" s="28"/>
      <c r="O6" s="28"/>
    </row>
    <row r="7" spans="1:15" ht="15.75" customHeight="1" x14ac:dyDescent="0.35">
      <c r="A7" s="14" t="s">
        <v>254</v>
      </c>
      <c r="B7" s="22" t="s">
        <v>255</v>
      </c>
      <c r="C7" s="27" t="s">
        <v>250</v>
      </c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</row>
    <row r="9" spans="1:15" ht="21.75" customHeight="1" x14ac:dyDescent="0.35">
      <c r="A9" s="6" t="s">
        <v>256</v>
      </c>
      <c r="B9" s="6"/>
      <c r="C9" s="6"/>
      <c r="D9" s="6"/>
      <c r="E9" s="6"/>
      <c r="F9" s="6"/>
      <c r="G9" s="6"/>
      <c r="H9" s="6"/>
      <c r="I9" s="6"/>
      <c r="J9" s="6"/>
      <c r="K9" s="6"/>
      <c r="L9" s="6"/>
      <c r="M9" s="6"/>
      <c r="N9" s="6"/>
      <c r="O9" s="6"/>
    </row>
    <row r="10" spans="1:15" ht="15.75" customHeight="1" x14ac:dyDescent="0.35">
      <c r="A10" s="14" t="s">
        <v>257</v>
      </c>
      <c r="B10" s="22" t="s">
        <v>258</v>
      </c>
      <c r="C10" s="27" t="s">
        <v>250</v>
      </c>
      <c r="D10" s="28"/>
      <c r="E10" s="28"/>
      <c r="F10" s="28"/>
      <c r="G10" s="28"/>
      <c r="H10" s="28"/>
      <c r="I10" s="28"/>
      <c r="J10" s="28"/>
      <c r="K10" s="28"/>
      <c r="L10" s="28"/>
      <c r="M10" s="28"/>
      <c r="N10" s="28"/>
      <c r="O10" s="28"/>
    </row>
    <row r="11" spans="1:15" ht="15.75" customHeight="1" x14ac:dyDescent="0.35">
      <c r="A11" s="14" t="s">
        <v>259</v>
      </c>
      <c r="B11" s="22" t="s">
        <v>258</v>
      </c>
      <c r="C11" s="29" t="s">
        <v>260</v>
      </c>
      <c r="D11" s="28"/>
      <c r="E11" s="28"/>
      <c r="F11" s="28"/>
      <c r="G11" s="28"/>
      <c r="H11" s="28"/>
      <c r="I11" s="28"/>
      <c r="J11" s="28"/>
      <c r="K11" s="28"/>
      <c r="L11" s="28"/>
      <c r="M11" s="28"/>
      <c r="N11" s="28"/>
      <c r="O11" s="28"/>
    </row>
    <row r="12" spans="1:15" ht="15.75" customHeight="1" x14ac:dyDescent="0.35">
      <c r="A12" s="14" t="s">
        <v>261</v>
      </c>
      <c r="B12" s="22" t="s">
        <v>262</v>
      </c>
      <c r="C12" s="27" t="s">
        <v>250</v>
      </c>
      <c r="D12" s="28"/>
      <c r="E12" s="28"/>
      <c r="F12" s="28"/>
      <c r="G12" s="28"/>
      <c r="H12" s="28"/>
      <c r="I12" s="28"/>
      <c r="J12" s="28"/>
      <c r="K12" s="28"/>
      <c r="L12" s="28"/>
      <c r="M12" s="28"/>
      <c r="N12" s="28"/>
      <c r="O12" s="28"/>
    </row>
    <row r="13" spans="1:15" ht="15.75" customHeight="1" x14ac:dyDescent="0.35">
      <c r="A13" s="14" t="s">
        <v>263</v>
      </c>
      <c r="B13" s="22" t="s">
        <v>264</v>
      </c>
      <c r="C13" s="29" t="s">
        <v>260</v>
      </c>
      <c r="D13" s="28"/>
      <c r="E13" s="28"/>
      <c r="F13" s="28"/>
      <c r="G13" s="28"/>
      <c r="H13" s="28"/>
      <c r="I13" s="28"/>
      <c r="J13" s="28"/>
      <c r="K13" s="28"/>
      <c r="L13" s="28"/>
      <c r="M13" s="28"/>
      <c r="N13" s="28"/>
      <c r="O13" s="28"/>
    </row>
    <row r="15" spans="1:15" ht="21.75" customHeight="1" x14ac:dyDescent="0.35">
      <c r="A15" s="6" t="s">
        <v>265</v>
      </c>
      <c r="B15" s="6"/>
      <c r="C15" s="6"/>
      <c r="D15" s="6"/>
      <c r="E15" s="6"/>
      <c r="F15" s="6"/>
      <c r="G15" s="6"/>
      <c r="H15" s="6"/>
      <c r="I15" s="6"/>
      <c r="J15" s="6"/>
      <c r="K15" s="6"/>
      <c r="L15" s="6"/>
      <c r="M15" s="6"/>
      <c r="N15" s="6"/>
      <c r="O15" s="6"/>
    </row>
    <row r="16" spans="1:15" ht="15.75" customHeight="1" x14ac:dyDescent="0.35">
      <c r="A16" s="14" t="s">
        <v>266</v>
      </c>
      <c r="B16" s="22" t="s">
        <v>262</v>
      </c>
      <c r="C16" s="27" t="s">
        <v>250</v>
      </c>
      <c r="D16" s="28"/>
      <c r="E16" s="28"/>
      <c r="F16" s="28"/>
      <c r="G16" s="28"/>
      <c r="H16" s="28"/>
      <c r="I16" s="28"/>
      <c r="J16" s="28"/>
      <c r="K16" s="28"/>
      <c r="L16" s="28"/>
      <c r="M16" s="28"/>
      <c r="N16" s="28"/>
      <c r="O16" s="28"/>
    </row>
    <row r="17" spans="1:15" ht="15.75" customHeight="1" x14ac:dyDescent="0.35">
      <c r="A17" s="14" t="s">
        <v>267</v>
      </c>
      <c r="B17" s="22" t="s">
        <v>268</v>
      </c>
      <c r="C17" s="29" t="s">
        <v>260</v>
      </c>
      <c r="D17" s="28"/>
      <c r="E17" s="28"/>
      <c r="F17" s="28"/>
      <c r="G17" s="28"/>
      <c r="H17" s="28"/>
      <c r="I17" s="28"/>
      <c r="J17" s="28"/>
      <c r="K17" s="28"/>
      <c r="L17" s="28"/>
      <c r="M17" s="28"/>
      <c r="N17" s="28"/>
      <c r="O17" s="28"/>
    </row>
    <row r="18" spans="1:15" ht="15.75" customHeight="1" x14ac:dyDescent="0.35">
      <c r="A18" s="14" t="s">
        <v>269</v>
      </c>
      <c r="B18" s="22" t="s">
        <v>264</v>
      </c>
      <c r="C18" s="27" t="s">
        <v>250</v>
      </c>
      <c r="D18" s="28"/>
      <c r="E18" s="28"/>
      <c r="F18" s="28"/>
      <c r="G18" s="28"/>
      <c r="H18" s="28"/>
      <c r="I18" s="28"/>
      <c r="J18" s="28"/>
      <c r="K18" s="28"/>
      <c r="L18" s="28"/>
      <c r="M18" s="28"/>
      <c r="N18" s="28"/>
      <c r="O18" s="28"/>
    </row>
    <row r="19" spans="1:15" ht="15.75" customHeight="1" x14ac:dyDescent="0.35">
      <c r="A19" s="14" t="s">
        <v>270</v>
      </c>
      <c r="B19" s="22" t="s">
        <v>264</v>
      </c>
      <c r="C19" s="29" t="s">
        <v>260</v>
      </c>
      <c r="D19" s="28"/>
      <c r="E19" s="28"/>
      <c r="F19" s="28"/>
      <c r="G19" s="28"/>
      <c r="H19" s="28"/>
      <c r="I19" s="28"/>
      <c r="J19" s="28"/>
      <c r="K19" s="28"/>
      <c r="L19" s="28"/>
      <c r="M19" s="28"/>
      <c r="N19" s="28"/>
      <c r="O19" s="28"/>
    </row>
    <row r="21" spans="1:15" ht="15.75" customHeight="1" x14ac:dyDescent="0.35">
      <c r="A21" s="31" t="s">
        <v>271</v>
      </c>
      <c r="B21" s="31"/>
      <c r="C21" s="31"/>
      <c r="D21" s="31"/>
      <c r="E21" s="31"/>
      <c r="F21" s="31"/>
      <c r="G21" s="31"/>
      <c r="H21" s="31"/>
      <c r="I21" s="31"/>
      <c r="J21" s="31"/>
      <c r="K21" s="31"/>
      <c r="L21" s="31"/>
      <c r="M21" s="31"/>
      <c r="N21" s="31"/>
      <c r="O21" s="31"/>
    </row>
  </sheetData>
  <mergeCells count="5">
    <mergeCell ref="A1:L1"/>
    <mergeCell ref="A3:O3"/>
    <mergeCell ref="A9:O9"/>
    <mergeCell ref="A15:O15"/>
    <mergeCell ref="A21:O2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أوراق العمل</vt:lpstr>
      </vt:variant>
      <vt:variant>
        <vt:i4>7</vt:i4>
      </vt:variant>
    </vt:vector>
  </HeadingPairs>
  <TitlesOfParts>
    <vt:vector size="7" baseType="lpstr">
      <vt:lpstr>الغلاف</vt:lpstr>
      <vt:lpstr>خطة العمل</vt:lpstr>
      <vt:lpstr>دراسة الجدوى</vt:lpstr>
      <vt:lpstr>الموارد البشرية</vt:lpstr>
      <vt:lpstr>عقد العمل</vt:lpstr>
      <vt:lpstr>مؤشرات الأداء KPIs</vt:lpstr>
      <vt:lpstr>الخطة التشغيلية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abdullahmonief@outlook.sa</cp:lastModifiedBy>
  <cp:revision>0</cp:revision>
  <dcterms:created xsi:type="dcterms:W3CDTF">2026-06-08T23:06:01Z</dcterms:created>
  <dcterms:modified xsi:type="dcterms:W3CDTF">2026-06-11T18:47:08Z</dcterms:modified>
  <dc:language>en-US</dc:language>
</cp:coreProperties>
</file>