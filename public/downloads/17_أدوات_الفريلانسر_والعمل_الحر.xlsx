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F0BFD3B4-E664-4837-A533-708C2EA23345}" xr6:coauthVersionLast="47" xr6:coauthVersionMax="47" xr10:uidLastSave="{00000000-0000-0000-0000-000000000000}"/>
  <bookViews>
    <workbookView xWindow="-110" yWindow="-110" windowWidth="19420" windowHeight="10300" tabRatio="500" firstSheet="2" activeTab="2" xr2:uid="{00000000-000D-0000-FFFF-FFFF00000000}"/>
  </bookViews>
  <sheets>
    <sheet name="الغلاف" sheetId="1" r:id="rId1"/>
    <sheet name="حاسبة سعر الساعة" sheetId="2" r:id="rId2"/>
    <sheet name="متابعة المشاريع" sheetId="3" r:id="rId3"/>
    <sheet name="الدخل والمصاريف" sheetId="4" r:id="rId4"/>
    <sheet name="تحليل العملاء" sheetId="5" r:id="rId5"/>
    <sheet name="خطة الدخل السنوي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6" l="1"/>
  <c r="B19" i="6" s="1"/>
  <c r="F13" i="5"/>
  <c r="E13" i="5"/>
  <c r="D13" i="5"/>
  <c r="C13" i="5"/>
  <c r="B13" i="5"/>
  <c r="H12" i="5"/>
  <c r="F12" i="5"/>
  <c r="D12" i="5"/>
  <c r="H11" i="5"/>
  <c r="F11" i="5"/>
  <c r="D11" i="5"/>
  <c r="H10" i="5"/>
  <c r="F10" i="5"/>
  <c r="D10" i="5"/>
  <c r="H9" i="5"/>
  <c r="F9" i="5"/>
  <c r="D9" i="5"/>
  <c r="H8" i="5"/>
  <c r="F8" i="5"/>
  <c r="D8" i="5"/>
  <c r="H7" i="5"/>
  <c r="F7" i="5"/>
  <c r="D7" i="5"/>
  <c r="H6" i="5"/>
  <c r="F6" i="5"/>
  <c r="D6" i="5"/>
  <c r="H5" i="5"/>
  <c r="F5" i="5"/>
  <c r="D5" i="5"/>
  <c r="H4" i="5"/>
  <c r="F4" i="5"/>
  <c r="D4" i="5"/>
  <c r="H3" i="5"/>
  <c r="F3" i="5"/>
  <c r="D3" i="5"/>
  <c r="G16" i="4"/>
  <c r="F16" i="4"/>
  <c r="L15" i="4"/>
  <c r="K15" i="4"/>
  <c r="F15" i="4"/>
  <c r="D15" i="4"/>
  <c r="C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N12" i="4"/>
  <c r="N11" i="4"/>
  <c r="N10" i="4"/>
  <c r="M8" i="4"/>
  <c r="M16" i="4" s="1"/>
  <c r="L8" i="4"/>
  <c r="L16" i="4" s="1"/>
  <c r="K8" i="4"/>
  <c r="K16" i="4" s="1"/>
  <c r="J8" i="4"/>
  <c r="J15" i="4" s="1"/>
  <c r="I8" i="4"/>
  <c r="I15" i="4" s="1"/>
  <c r="H8" i="4"/>
  <c r="H15" i="4" s="1"/>
  <c r="G8" i="4"/>
  <c r="G15" i="4" s="1"/>
  <c r="F8" i="4"/>
  <c r="E8" i="4"/>
  <c r="E16" i="4" s="1"/>
  <c r="D8" i="4"/>
  <c r="D16" i="4" s="1"/>
  <c r="C8" i="4"/>
  <c r="C16" i="4" s="1"/>
  <c r="B8" i="4"/>
  <c r="B15" i="4" s="1"/>
  <c r="N7" i="4"/>
  <c r="N6" i="4"/>
  <c r="N5" i="4"/>
  <c r="N4" i="4"/>
  <c r="N8" i="4" s="1"/>
  <c r="H15" i="3"/>
  <c r="I15" i="3" s="1"/>
  <c r="F15" i="3"/>
  <c r="E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G15" i="3" s="1"/>
  <c r="B24" i="2"/>
  <c r="B18" i="2"/>
  <c r="B10" i="2"/>
  <c r="B27" i="2" s="1"/>
  <c r="N15" i="4" l="1"/>
  <c r="N16" i="4"/>
  <c r="B29" i="2"/>
  <c r="B28" i="2"/>
  <c r="E15" i="4"/>
  <c r="M15" i="4"/>
  <c r="H16" i="4"/>
  <c r="B16" i="4"/>
  <c r="J16" i="4"/>
  <c r="I16" i="4"/>
  <c r="B11" i="6"/>
  <c r="B15" i="6"/>
  <c r="A31" i="2" l="1"/>
  <c r="B30" i="2"/>
</calcChain>
</file>

<file path=xl/sharedStrings.xml><?xml version="1.0" encoding="utf-8"?>
<sst xmlns="http://schemas.openxmlformats.org/spreadsheetml/2006/main" count="178" uniqueCount="134">
  <si>
    <t>أدوات الفريلانسر والعمل الحر</t>
  </si>
  <si>
    <t>احسب سعر ساعتك · تتبع مشاريعك · أصدر فواتيرك · ادفع زكاتك</t>
  </si>
  <si>
    <t>⏱️ سعر الساعة</t>
  </si>
  <si>
    <t>📁 إدارة المشاريع</t>
  </si>
  <si>
    <t>🧾 الفاتورة</t>
  </si>
  <si>
    <t>احسب ما تستحقه</t>
  </si>
  <si>
    <t>تتبع كل عميل</t>
  </si>
  <si>
    <t>قوالب احترافية</t>
  </si>
  <si>
    <t>💰 الدخل والمصاريف</t>
  </si>
  <si>
    <t>📊 تقرير العملاء</t>
  </si>
  <si>
    <t>🎯 أهداف الدخل</t>
  </si>
  <si>
    <t>P&amp;L للفريلانسر</t>
  </si>
  <si>
    <t>أيهم الأكثر قيمة؟</t>
  </si>
  <si>
    <t>خطط دخلك السنوي</t>
  </si>
  <si>
    <t>حاسبة سعر الساعة المثالي للفريلانسر</t>
  </si>
  <si>
    <t>كثير من الفريلانسرين يقللون من سعرهم لأنهم لا يحسبون تكاليفهم الحقيقية</t>
  </si>
  <si>
    <t>احتياجاتك المالية الشهرية</t>
  </si>
  <si>
    <t>مصاريفك الشخصية الشهرية (ريال)</t>
  </si>
  <si>
    <t>المدخرات المستهدفة شهرياً (ريال)</t>
  </si>
  <si>
    <t>التأمين الصحي والتأمينات (ريال)</t>
  </si>
  <si>
    <t>ضريبة الدخل / الزكاة المتوقعة (ريال)</t>
  </si>
  <si>
    <t>احتياطي الطوارئ الشهري (ريال)</t>
  </si>
  <si>
    <t>إجمالي احتياجك الشهري</t>
  </si>
  <si>
    <t>تكاليف العمل الشهرية</t>
  </si>
  <si>
    <t>الإنترنت والاشتراكات (Adobe, Office...)</t>
  </si>
  <si>
    <t>معدات وأجهزة (استهلاك شهري)</t>
  </si>
  <si>
    <t>تطوير المهارات والدورات</t>
  </si>
  <si>
    <t>تسويق وموقع إلكتروني</t>
  </si>
  <si>
    <t>مصاريف مكتبية أخرى</t>
  </si>
  <si>
    <t>إجمالي تكاليف العمل</t>
  </si>
  <si>
    <t>ساعات العمل الفعلية</t>
  </si>
  <si>
    <t>أيام العمل في الشهر</t>
  </si>
  <si>
    <t>ساعات العمل اليومية</t>
  </si>
  <si>
    <t>نسبة الوقت القابل للفوترة %</t>
  </si>
  <si>
    <t>الساعات القابلة للفوترة شهرياً</t>
  </si>
  <si>
    <t>⭐ سعر ساعتك</t>
  </si>
  <si>
    <t>الحد الأدنى (لتغطية النفقات فقط)</t>
  </si>
  <si>
    <t>السعر الموصى به (+30% هامش)</t>
  </si>
  <si>
    <t>السعر المميز (+50% هامش)</t>
  </si>
  <si>
    <t>السعر إذا أضفت 20% للتطوير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</si>
  <si>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</si>
  <si>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</si>
  <si>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</si>
  <si>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</si>
  <si>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</si>
  <si>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متابعة مشاريع العملاء والفواتير</t>
  </si>
  <si>
    <t>اسم المشروع</t>
  </si>
  <si>
    <t>العميل</t>
  </si>
  <si>
    <t>تاريخ البدء</t>
  </si>
  <si>
    <t>تاريخ التسليم</t>
  </si>
  <si>
    <t>القيمة (ريال)</t>
  </si>
  <si>
    <t>المقبوض (ريال)</t>
  </si>
  <si>
    <t>المتبقي (ريال)</t>
  </si>
  <si>
    <t>الساعات المنجزة</t>
  </si>
  <si>
    <t>سعر الساعة الفعلي</t>
  </si>
  <si>
    <t>الحالة</t>
  </si>
  <si>
    <t>الأولوية</t>
  </si>
  <si>
    <t>مشروع 1</t>
  </si>
  <si>
    <t>🔄 جاري</t>
  </si>
  <si>
    <t>متوسطة</t>
  </si>
  <si>
    <t>مشروع 2</t>
  </si>
  <si>
    <t>مشروع 3</t>
  </si>
  <si>
    <t>مشروع 4</t>
  </si>
  <si>
    <t>مشروع 5</t>
  </si>
  <si>
    <t>مشروع 6</t>
  </si>
  <si>
    <t>مشروع 7</t>
  </si>
  <si>
    <t>مشروع 8</t>
  </si>
  <si>
    <t>مشروع 9</t>
  </si>
  <si>
    <t>مشروع 10</t>
  </si>
  <si>
    <t>مشروع 11</t>
  </si>
  <si>
    <t>مشروع 12</t>
  </si>
  <si>
    <t>الإجمالي</t>
  </si>
  <si>
    <t>قائمة دخل ومصاريف الفريلانسر – 12 شهراً</t>
  </si>
  <si>
    <t>البيان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</si>
  <si>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</si>
  <si>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</si>
  <si>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</si>
  <si>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</si>
  <si>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</si>
  <si>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</si>
  <si>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</si>
  <si>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</si>
  <si>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</si>
  <si>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</si>
  <si>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</si>
  <si>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</si>
  <si>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السنوي</t>
  </si>
  <si>
    <t>الإيرادات</t>
  </si>
  <si>
    <t>إيرادات المشاريع</t>
  </si>
  <si>
    <t>استشارات</t>
  </si>
  <si>
    <t>دورات تدريبية</t>
  </si>
  <si>
    <t>مصادر أخرى</t>
  </si>
  <si>
    <t>إجمالي الإيرادات</t>
  </si>
  <si>
    <t>المصاريف</t>
  </si>
  <si>
    <t>الاشتراكات والأدوات</t>
  </si>
  <si>
    <t>التسويق</t>
  </si>
  <si>
    <t>التطوير المهني</t>
  </si>
  <si>
    <t>مصاريف عامة</t>
  </si>
  <si>
    <t>إجمالي المصاريف</t>
  </si>
  <si>
    <t>⭐ صافي الدخل</t>
  </si>
  <si>
    <t>هامش الربح الصافي %</t>
  </si>
  <si>
    <t>تحليل قيمة العملاء – من هم عملاؤك الأكثر قيمة؟</t>
  </si>
  <si>
    <t>اسم العميل</t>
  </si>
  <si>
    <t>عدد المشاريع</t>
  </si>
  <si>
    <t>إجمالي الإيراد (ريال)</t>
  </si>
  <si>
    <t>متوسط قيمة المشروع</t>
  </si>
  <si>
    <t>إجمالي الساعات</t>
  </si>
  <si>
    <t>نسبة الدفع في الوقت</t>
  </si>
  <si>
    <t>تصنيف</t>
  </si>
  <si>
    <t>عميل 1</t>
  </si>
  <si>
    <t>عميل 2</t>
  </si>
  <si>
    <t>عميل 3</t>
  </si>
  <si>
    <t>عميل 4</t>
  </si>
  <si>
    <t>عميل 5</t>
  </si>
  <si>
    <t>عميل 6</t>
  </si>
  <si>
    <t>عميل 7</t>
  </si>
  <si>
    <t>عميل 8</t>
  </si>
  <si>
    <t>عميل 9</t>
  </si>
  <si>
    <t>عميل 10</t>
  </si>
  <si>
    <t>خطة الدخل السنوي للفريلانسر</t>
  </si>
  <si>
    <t>هدفك السنوي</t>
  </si>
  <si>
    <t>هدف الدخل السنوي الصافي (ريال)</t>
  </si>
  <si>
    <t>نسبة الزكاة والضرائب المتوقعة %</t>
  </si>
  <si>
    <t>الدخل الإجمالي المطلوب (ريال)</t>
  </si>
  <si>
    <t>كيف تحقق الهدف؟</t>
  </si>
  <si>
    <t>الطريقة 1: رفع السعر</t>
  </si>
  <si>
    <t>سعر الساعة الحالي (ريال)</t>
  </si>
  <si>
    <t>سعر الساعة المطلوب (ريال)</t>
  </si>
  <si>
    <t>الطريقة 2: زيادة الساعات</t>
  </si>
  <si>
    <t>ساعاتك الحالية/شهر</t>
  </si>
  <si>
    <t>الساعات المطلوبة/شهر</t>
  </si>
  <si>
    <t>الطريقة 3: مزيج مثالي</t>
  </si>
  <si>
    <t>سعر مقترح (ريال/ساعة)</t>
  </si>
  <si>
    <t>ساعات مقترحة/شهر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</si>
</sst>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7B0000"/>
      <name val="Arial"/>
      <charset val="1"/>
    </font>
    <font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1F6B75"/>
        <bgColor rgb="FF2E5FA3"/>
      </patternFill>
    </fill>
    <fill>
      <patternFill patternType="solid">
        <fgColor rgb="FFDEEAF1"/>
        <bgColor rgb="FFE2EFDA"/>
      </patternFill>
    </fill>
    <fill>
      <patternFill patternType="solid">
        <fgColor rgb="FF2E5FA3"/>
        <bgColor rgb="FF1F6B75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8" fillId="7" borderId="2" xfId="0" applyFont="1" applyFill="1" applyBorder="1" applyAlignment="1" applyProtection="1">
      <alignment horizontal="left" vertical="center" wrapText="1"/>
      <protection locked="0"/>
    </xf>
    <xf numFmtId="3" fontId="9" fillId="5" borderId="2" xfId="0" applyNumberFormat="1" applyFont="1" applyFill="1" applyBorder="1" applyAlignment="1" applyProtection="1">
      <alignment horizontal="right" vertical="center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4" fontId="10" fillId="8" borderId="3" xfId="0" applyNumberFormat="1" applyFont="1" applyFill="1" applyBorder="1" applyAlignment="1" applyProtection="1">
      <alignment horizontal="right" vertical="center"/>
      <protection locked="0"/>
    </xf>
    <xf numFmtId="1" fontId="9" fillId="5" borderId="2" xfId="0" applyNumberFormat="1" applyFont="1" applyFill="1" applyBorder="1" applyAlignment="1" applyProtection="1">
      <alignment horizontal="right" vertical="center"/>
      <protection locked="0"/>
    </xf>
    <xf numFmtId="9" fontId="9" fillId="5" borderId="2" xfId="0" applyNumberFormat="1" applyFont="1" applyFill="1" applyBorder="1" applyAlignment="1" applyProtection="1">
      <alignment horizontal="right" vertical="center"/>
      <protection locked="0"/>
    </xf>
    <xf numFmtId="164" fontId="8" fillId="9" borderId="2" xfId="0" applyNumberFormat="1" applyFont="1" applyFill="1" applyBorder="1" applyAlignment="1" applyProtection="1">
      <alignment horizontal="right" vertical="center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9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10" borderId="2" xfId="0" applyFont="1" applyFill="1" applyBorder="1" applyProtection="1">
      <protection locked="0"/>
    </xf>
    <xf numFmtId="4" fontId="10" fillId="8" borderId="3" xfId="0" applyNumberFormat="1" applyFont="1" applyFill="1" applyBorder="1" applyAlignment="1" applyProtection="1">
      <alignment horizontal="right" vertical="center"/>
      <protection locked="0" hidden="1"/>
    </xf>
    <xf numFmtId="164" fontId="8" fillId="9" borderId="2" xfId="0" applyNumberFormat="1" applyFont="1" applyFill="1" applyBorder="1" applyAlignment="1" applyProtection="1">
      <alignment horizontal="right" vertical="center"/>
      <protection locked="0" hidden="1"/>
    </xf>
    <xf numFmtId="0" fontId="11" fillId="5" borderId="2" xfId="0" applyFont="1" applyFill="1" applyBorder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2" fillId="8" borderId="4" xfId="0" applyFont="1" applyFill="1" applyBorder="1" applyAlignment="1" applyProtection="1">
      <alignment horizontal="center" vertical="center" wrapText="1"/>
      <protection locked="0" hidden="1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49" fontId="9" fillId="5" borderId="2" xfId="0" applyNumberFormat="1" applyFont="1" applyFill="1" applyBorder="1" applyAlignment="1" applyProtection="1">
      <alignment horizontal="right" vertical="center"/>
      <protection locked="0"/>
    </xf>
    <xf numFmtId="3" fontId="8" fillId="9" borderId="2" xfId="0" applyNumberFormat="1" applyFont="1" applyFill="1" applyBorder="1" applyAlignment="1" applyProtection="1">
      <alignment horizontal="right" vertical="center"/>
      <protection locked="0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3" fontId="8" fillId="9" borderId="2" xfId="0" applyNumberFormat="1" applyFont="1" applyFill="1" applyBorder="1" applyAlignment="1" applyProtection="1">
      <alignment horizontal="right" vertical="center"/>
      <protection locked="0" hidden="1"/>
    </xf>
    <xf numFmtId="0" fontId="19" fillId="6" borderId="2" xfId="0" applyFont="1" applyFill="1" applyBorder="1" applyAlignment="1" applyProtection="1">
      <alignment horizontal="center" vertical="center" wrapText="1"/>
      <protection locked="0"/>
    </xf>
    <xf numFmtId="0" fontId="18" fillId="3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4" fontId="20" fillId="10" borderId="3" xfId="0" applyNumberFormat="1" applyFont="1" applyFill="1" applyBorder="1" applyAlignment="1" applyProtection="1">
      <alignment horizontal="right" vertical="center"/>
      <protection locked="0" hidden="1"/>
    </xf>
    <xf numFmtId="165" fontId="8" fillId="9" borderId="2" xfId="0" applyNumberFormat="1" applyFont="1" applyFill="1" applyBorder="1" applyAlignment="1" applyProtection="1">
      <alignment horizontal="right" vertical="center"/>
      <protection locked="0" hidden="1"/>
    </xf>
    <xf numFmtId="0" fontId="21" fillId="7" borderId="2" xfId="0" applyFont="1" applyFill="1" applyBorder="1" applyAlignment="1" applyProtection="1">
      <alignment horizontal="center" vertical="center" wrapText="1"/>
      <protection locked="0" hidden="1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164" fontId="10" fillId="8" borderId="3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rightToLeft="1" topLeftCell="A13" zoomScale="83" zoomScaleNormal="100" workbookViewId="0">
      <selection activeCell="B27" sqref="A27:E32"/>
    </sheetView>
  </sheetViews>
  <sheetFormatPr defaultColWidth="8.6328125" defaultRowHeight="14.5" x14ac:dyDescent="0.35"/>
  <cols>
    <col min="1" max="1" width="36" style="7" customWidth="1"/>
    <col min="2" max="2" width="18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14</v>
      </c>
      <c r="B1" s="6"/>
      <c r="C1" s="6"/>
      <c r="D1" s="6"/>
      <c r="E1" s="6"/>
    </row>
    <row r="2" spans="1:5" ht="15" customHeight="1" x14ac:dyDescent="0.35">
      <c r="A2" s="8" t="s">
        <v>15</v>
      </c>
      <c r="B2" s="8"/>
      <c r="C2" s="8"/>
      <c r="D2" s="8"/>
      <c r="E2" s="8"/>
    </row>
    <row r="4" spans="1:5" ht="21.75" customHeight="1" x14ac:dyDescent="0.35">
      <c r="A4" s="9" t="s">
        <v>16</v>
      </c>
      <c r="B4" s="9"/>
      <c r="C4" s="9"/>
      <c r="D4" s="9"/>
      <c r="E4" s="9"/>
    </row>
    <row r="5" spans="1:5" ht="16.5" customHeight="1" x14ac:dyDescent="0.35">
      <c r="A5" s="10" t="s">
        <v>17</v>
      </c>
      <c r="B5" s="11">
        <v>8000</v>
      </c>
    </row>
    <row r="6" spans="1:5" ht="16.5" customHeight="1" x14ac:dyDescent="0.35">
      <c r="A6" s="10" t="s">
        <v>18</v>
      </c>
      <c r="B6" s="11">
        <v>2000</v>
      </c>
    </row>
    <row r="7" spans="1:5" ht="16.5" customHeight="1" x14ac:dyDescent="0.35">
      <c r="A7" s="10" t="s">
        <v>19</v>
      </c>
      <c r="B7" s="11">
        <v>500</v>
      </c>
    </row>
    <row r="8" spans="1:5" ht="16.5" customHeight="1" x14ac:dyDescent="0.35">
      <c r="A8" s="10" t="s">
        <v>20</v>
      </c>
      <c r="B8" s="11">
        <v>300</v>
      </c>
    </row>
    <row r="9" spans="1:5" ht="16.5" customHeight="1" x14ac:dyDescent="0.35">
      <c r="A9" s="10" t="s">
        <v>21</v>
      </c>
      <c r="B9" s="11">
        <v>500</v>
      </c>
    </row>
    <row r="10" spans="1:5" ht="19.5" customHeight="1" x14ac:dyDescent="0.35">
      <c r="A10" s="12" t="s">
        <v>22</v>
      </c>
      <c r="B10" s="24">
        <f>SUM(B5:B9)</f>
        <v>11300</v>
      </c>
    </row>
    <row r="12" spans="1:5" ht="21.75" customHeight="1" x14ac:dyDescent="0.35">
      <c r="A12" s="9" t="s">
        <v>23</v>
      </c>
      <c r="B12" s="9"/>
      <c r="C12" s="9"/>
      <c r="D12" s="9"/>
      <c r="E12" s="9"/>
    </row>
    <row r="13" spans="1:5" ht="16.5" customHeight="1" x14ac:dyDescent="0.35">
      <c r="A13" s="10" t="s">
        <v>24</v>
      </c>
      <c r="B13" s="11">
        <v>500</v>
      </c>
    </row>
    <row r="14" spans="1:5" ht="16.5" customHeight="1" x14ac:dyDescent="0.35">
      <c r="A14" s="10" t="s">
        <v>25</v>
      </c>
      <c r="B14" s="11">
        <v>300</v>
      </c>
    </row>
    <row r="15" spans="1:5" ht="16.5" customHeight="1" x14ac:dyDescent="0.35">
      <c r="A15" s="10" t="s">
        <v>26</v>
      </c>
      <c r="B15" s="11">
        <v>400</v>
      </c>
    </row>
    <row r="16" spans="1:5" ht="16.5" customHeight="1" x14ac:dyDescent="0.35">
      <c r="A16" s="10" t="s">
        <v>27</v>
      </c>
      <c r="B16" s="11">
        <v>200</v>
      </c>
    </row>
    <row r="17" spans="1:5" ht="16.5" customHeight="1" x14ac:dyDescent="0.35">
      <c r="A17" s="10" t="s">
        <v>28</v>
      </c>
      <c r="B17" s="11">
        <v>200</v>
      </c>
    </row>
    <row r="18" spans="1:5" ht="19.5" customHeight="1" x14ac:dyDescent="0.35">
      <c r="A18" s="12" t="s">
        <v>29</v>
      </c>
      <c r="B18" s="24">
        <f>SUM(B13:B17)</f>
        <v>1600</v>
      </c>
    </row>
    <row r="20" spans="1:5" ht="21.75" customHeight="1" x14ac:dyDescent="0.35">
      <c r="A20" s="9" t="s">
        <v>30</v>
      </c>
      <c r="B20" s="9"/>
      <c r="C20" s="9"/>
      <c r="D20" s="9"/>
      <c r="E20" s="9"/>
    </row>
    <row r="21" spans="1:5" ht="16.5" customHeight="1" x14ac:dyDescent="0.35">
      <c r="A21" s="10" t="s">
        <v>31</v>
      </c>
      <c r="B21" s="14">
        <v>22</v>
      </c>
    </row>
    <row r="22" spans="1:5" ht="16.5" customHeight="1" x14ac:dyDescent="0.35">
      <c r="A22" s="10" t="s">
        <v>32</v>
      </c>
      <c r="B22" s="14">
        <v>8</v>
      </c>
    </row>
    <row r="23" spans="1:5" ht="16.5" customHeight="1" x14ac:dyDescent="0.35">
      <c r="A23" s="10" t="s">
        <v>33</v>
      </c>
      <c r="B23" s="15">
        <v>0.7</v>
      </c>
    </row>
    <row r="24" spans="1:5" ht="16.5" customHeight="1" x14ac:dyDescent="0.35">
      <c r="A24" s="10" t="s">
        <v>34</v>
      </c>
      <c r="B24" s="25">
        <f>B21*B22*B23</f>
        <v>123.19999999999999</v>
      </c>
    </row>
    <row r="26" spans="1:5" ht="21.75" customHeight="1" x14ac:dyDescent="0.35">
      <c r="A26" s="17" t="s">
        <v>35</v>
      </c>
      <c r="B26" s="17"/>
      <c r="C26" s="17"/>
      <c r="D26" s="17"/>
      <c r="E26" s="17"/>
    </row>
    <row r="27" spans="1:5" ht="18" customHeight="1" x14ac:dyDescent="0.35">
      <c r="A27" s="26" t="s">
        <v>36</v>
      </c>
      <c r="B27" s="24">
        <f>IF(B24=0,0,(B10+B18)/B24)</f>
        <v>104.70779220779222</v>
      </c>
      <c r="C27" s="27"/>
      <c r="D27" s="27"/>
      <c r="E27" s="27"/>
    </row>
    <row r="28" spans="1:5" ht="18" customHeight="1" x14ac:dyDescent="0.35">
      <c r="A28" s="26" t="s">
        <v>37</v>
      </c>
      <c r="B28" s="24">
        <f>B27*1.3</f>
        <v>136.12012987012989</v>
      </c>
      <c r="C28" s="27"/>
      <c r="D28" s="27"/>
      <c r="E28" s="27"/>
    </row>
    <row r="29" spans="1:5" ht="18" customHeight="1" x14ac:dyDescent="0.35">
      <c r="A29" s="26" t="s">
        <v>38</v>
      </c>
      <c r="B29" s="24">
        <f>B27*1.5</f>
        <v>157.06168831168833</v>
      </c>
      <c r="C29" s="27"/>
      <c r="D29" s="27"/>
      <c r="E29" s="27"/>
    </row>
    <row r="30" spans="1:5" ht="18" customHeight="1" x14ac:dyDescent="0.35">
      <c r="A30" s="26" t="s">
        <v>39</v>
      </c>
      <c r="B30" s="24">
        <f>B28*1.2</f>
        <v>163.34415584415586</v>
      </c>
      <c r="C30" s="27"/>
      <c r="D30" s="27"/>
      <c r="E30" s="27"/>
    </row>
    <row r="31" spans="1:5" ht="25.5" customHeight="1" x14ac:dyDescent="0.35">
      <c r="A31" s="28" t="str">
        <f>"💡 سعر ساعتك الموصى به: "&amp;TEXT(B28,"#,##0")&amp;" ريال/ساعة | شهرياً إذا عملت "&amp;TEXT(B24,"0")&amp;" ساعة: "&amp;TEXT(B28*B24,"#,##0")&amp;" ريال"</f>
        <v>💡 سعر ساعتك الموصى به: 136 ريال/ساعة | شهرياً إذا عملت 123 ساعة: 16,770 ريال</v>
      </c>
      <c r="B31" s="28"/>
      <c r="C31" s="28"/>
      <c r="D31" s="28"/>
      <c r="E31" s="28"/>
    </row>
    <row r="32" spans="1:5" x14ac:dyDescent="0.35">
      <c r="A32" s="28"/>
      <c r="B32" s="28"/>
      <c r="C32" s="28"/>
      <c r="D32" s="28"/>
      <c r="E32" s="28"/>
    </row>
    <row r="34" spans="1:1" x14ac:dyDescent="0.35">
      <c r="A34" s="19" t="s">
        <v>40</v>
      </c>
    </row>
    <row r="35" spans="1:1" ht="12.75" customHeight="1" x14ac:dyDescent="0.35">
      <c r="A35" s="20" t="s">
        <v>41</v>
      </c>
    </row>
    <row r="36" spans="1:1" ht="12.75" customHeight="1" x14ac:dyDescent="0.35">
      <c r="A36" s="21" t="s">
        <v>42</v>
      </c>
    </row>
    <row r="37" spans="1:1" ht="12.75" customHeight="1" x14ac:dyDescent="0.35">
      <c r="A37" s="22" t="s">
        <v>43</v>
      </c>
    </row>
    <row r="38" spans="1:1" ht="12.75" customHeight="1" x14ac:dyDescent="0.35">
      <c r="A38" s="23" t="s">
        <v>44</v>
      </c>
    </row>
  </sheetData>
  <sheetProtection algorithmName="SHA-512" hashValue="pY8+XTlKFEXwgwhD9yk5w0lzZz+u8Pf7OPfYQhHmKSMTN55dcIKxgqDOe0MAxizatDAnu/xSZDRIqiDW2WAHJw==" saltValue="0dkZVpji2h/BBxoNaJAdBg==" spinCount="100000" sheet="1" objects="1" scenarios="1"/>
  <mergeCells count="7">
    <mergeCell ref="A26:E26"/>
    <mergeCell ref="A31:E32"/>
    <mergeCell ref="A1:E1"/>
    <mergeCell ref="A2:E2"/>
    <mergeCell ref="A4:E4"/>
    <mergeCell ref="A12:E12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rightToLeft="1" tabSelected="1" zoomScale="88" zoomScaleNormal="100" workbookViewId="0">
      <selection activeCell="E15" sqref="E15"/>
    </sheetView>
  </sheetViews>
  <sheetFormatPr defaultColWidth="8.6328125" defaultRowHeight="14.5" x14ac:dyDescent="0.35"/>
  <cols>
    <col min="1" max="1" width="20" style="7" customWidth="1"/>
    <col min="2" max="2" width="16" style="7" customWidth="1"/>
    <col min="3" max="3" width="12" style="7" customWidth="1"/>
    <col min="4" max="8" width="14" style="7" customWidth="1"/>
    <col min="9" max="9" width="16" style="7" customWidth="1"/>
    <col min="10" max="10" width="14" style="7" customWidth="1"/>
    <col min="11" max="11" width="12" style="7" customWidth="1"/>
    <col min="12" max="16384" width="8.6328125" style="7"/>
  </cols>
  <sheetData>
    <row r="1" spans="1:11" ht="27.75" customHeight="1" x14ac:dyDescent="0.35">
      <c r="A1" s="6" t="s">
        <v>45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21.75" customHeight="1" x14ac:dyDescent="0.35">
      <c r="A2" s="29" t="s">
        <v>46</v>
      </c>
      <c r="B2" s="29" t="s">
        <v>47</v>
      </c>
      <c r="C2" s="29" t="s">
        <v>48</v>
      </c>
      <c r="D2" s="29" t="s">
        <v>49</v>
      </c>
      <c r="E2" s="29" t="s">
        <v>50</v>
      </c>
      <c r="F2" s="29" t="s">
        <v>51</v>
      </c>
      <c r="G2" s="29" t="s">
        <v>52</v>
      </c>
      <c r="H2" s="29" t="s">
        <v>53</v>
      </c>
      <c r="I2" s="29" t="s">
        <v>54</v>
      </c>
      <c r="J2" s="29" t="s">
        <v>55</v>
      </c>
      <c r="K2" s="29" t="s">
        <v>56</v>
      </c>
    </row>
    <row r="3" spans="1:11" ht="15.75" customHeight="1" x14ac:dyDescent="0.35">
      <c r="A3" s="30" t="s">
        <v>57</v>
      </c>
      <c r="B3" s="30"/>
      <c r="C3" s="30"/>
      <c r="D3" s="30"/>
      <c r="E3" s="11">
        <v>0</v>
      </c>
      <c r="F3" s="11">
        <v>0</v>
      </c>
      <c r="G3" s="34">
        <f t="shared" ref="G3:G14" si="0">E3-F3</f>
        <v>0</v>
      </c>
      <c r="H3" s="32">
        <v>0</v>
      </c>
      <c r="I3" s="25">
        <f t="shared" ref="I3:I15" si="1">IF(H3=0,0,E3/H3)</f>
        <v>0</v>
      </c>
      <c r="J3" s="30" t="s">
        <v>58</v>
      </c>
      <c r="K3" s="30" t="s">
        <v>59</v>
      </c>
    </row>
    <row r="4" spans="1:11" ht="15.75" customHeight="1" x14ac:dyDescent="0.35">
      <c r="A4" s="30" t="s">
        <v>60</v>
      </c>
      <c r="B4" s="30"/>
      <c r="C4" s="30"/>
      <c r="D4" s="30"/>
      <c r="E4" s="11">
        <v>0</v>
      </c>
      <c r="F4" s="11">
        <v>0</v>
      </c>
      <c r="G4" s="34">
        <f t="shared" si="0"/>
        <v>0</v>
      </c>
      <c r="H4" s="32">
        <v>0</v>
      </c>
      <c r="I4" s="25">
        <f t="shared" si="1"/>
        <v>0</v>
      </c>
      <c r="J4" s="30" t="s">
        <v>58</v>
      </c>
      <c r="K4" s="30" t="s">
        <v>59</v>
      </c>
    </row>
    <row r="5" spans="1:11" ht="15.75" customHeight="1" x14ac:dyDescent="0.35">
      <c r="A5" s="30" t="s">
        <v>61</v>
      </c>
      <c r="B5" s="30"/>
      <c r="C5" s="30"/>
      <c r="D5" s="30"/>
      <c r="E5" s="11">
        <v>0</v>
      </c>
      <c r="F5" s="11">
        <v>0</v>
      </c>
      <c r="G5" s="34">
        <f t="shared" si="0"/>
        <v>0</v>
      </c>
      <c r="H5" s="32">
        <v>0</v>
      </c>
      <c r="I5" s="25">
        <f t="shared" si="1"/>
        <v>0</v>
      </c>
      <c r="J5" s="30" t="s">
        <v>58</v>
      </c>
      <c r="K5" s="30" t="s">
        <v>59</v>
      </c>
    </row>
    <row r="6" spans="1:11" ht="15.75" customHeight="1" x14ac:dyDescent="0.35">
      <c r="A6" s="30" t="s">
        <v>62</v>
      </c>
      <c r="B6" s="30"/>
      <c r="C6" s="30"/>
      <c r="D6" s="30"/>
      <c r="E6" s="11">
        <v>0</v>
      </c>
      <c r="F6" s="11">
        <v>0</v>
      </c>
      <c r="G6" s="34">
        <f t="shared" si="0"/>
        <v>0</v>
      </c>
      <c r="H6" s="32">
        <v>0</v>
      </c>
      <c r="I6" s="25">
        <f t="shared" si="1"/>
        <v>0</v>
      </c>
      <c r="J6" s="30" t="s">
        <v>58</v>
      </c>
      <c r="K6" s="30" t="s">
        <v>59</v>
      </c>
    </row>
    <row r="7" spans="1:11" ht="15.75" customHeight="1" x14ac:dyDescent="0.35">
      <c r="A7" s="30" t="s">
        <v>63</v>
      </c>
      <c r="B7" s="30"/>
      <c r="C7" s="30"/>
      <c r="D7" s="30"/>
      <c r="E7" s="11">
        <v>0</v>
      </c>
      <c r="F7" s="11">
        <v>0</v>
      </c>
      <c r="G7" s="34">
        <f t="shared" si="0"/>
        <v>0</v>
      </c>
      <c r="H7" s="32">
        <v>0</v>
      </c>
      <c r="I7" s="25">
        <f t="shared" si="1"/>
        <v>0</v>
      </c>
      <c r="J7" s="30" t="s">
        <v>58</v>
      </c>
      <c r="K7" s="30" t="s">
        <v>59</v>
      </c>
    </row>
    <row r="8" spans="1:11" ht="15.75" customHeight="1" x14ac:dyDescent="0.35">
      <c r="A8" s="30" t="s">
        <v>64</v>
      </c>
      <c r="B8" s="30"/>
      <c r="C8" s="30"/>
      <c r="D8" s="30"/>
      <c r="E8" s="11">
        <v>0</v>
      </c>
      <c r="F8" s="11">
        <v>0</v>
      </c>
      <c r="G8" s="34">
        <f t="shared" si="0"/>
        <v>0</v>
      </c>
      <c r="H8" s="32">
        <v>0</v>
      </c>
      <c r="I8" s="25">
        <f t="shared" si="1"/>
        <v>0</v>
      </c>
      <c r="J8" s="30" t="s">
        <v>58</v>
      </c>
      <c r="K8" s="30" t="s">
        <v>59</v>
      </c>
    </row>
    <row r="9" spans="1:11" ht="15.75" customHeight="1" x14ac:dyDescent="0.35">
      <c r="A9" s="30" t="s">
        <v>65</v>
      </c>
      <c r="B9" s="30"/>
      <c r="C9" s="30"/>
      <c r="D9" s="30"/>
      <c r="E9" s="11">
        <v>0</v>
      </c>
      <c r="F9" s="11">
        <v>0</v>
      </c>
      <c r="G9" s="34">
        <f t="shared" si="0"/>
        <v>0</v>
      </c>
      <c r="H9" s="32">
        <v>0</v>
      </c>
      <c r="I9" s="25">
        <f t="shared" si="1"/>
        <v>0</v>
      </c>
      <c r="J9" s="30" t="s">
        <v>58</v>
      </c>
      <c r="K9" s="30" t="s">
        <v>59</v>
      </c>
    </row>
    <row r="10" spans="1:11" ht="15.75" customHeight="1" x14ac:dyDescent="0.35">
      <c r="A10" s="30" t="s">
        <v>66</v>
      </c>
      <c r="B10" s="30"/>
      <c r="C10" s="30"/>
      <c r="D10" s="30"/>
      <c r="E10" s="11">
        <v>0</v>
      </c>
      <c r="F10" s="11">
        <v>0</v>
      </c>
      <c r="G10" s="34">
        <f t="shared" si="0"/>
        <v>0</v>
      </c>
      <c r="H10" s="32">
        <v>0</v>
      </c>
      <c r="I10" s="25">
        <f t="shared" si="1"/>
        <v>0</v>
      </c>
      <c r="J10" s="30" t="s">
        <v>58</v>
      </c>
      <c r="K10" s="30" t="s">
        <v>59</v>
      </c>
    </row>
    <row r="11" spans="1:11" ht="15.75" customHeight="1" x14ac:dyDescent="0.35">
      <c r="A11" s="30" t="s">
        <v>67</v>
      </c>
      <c r="B11" s="30"/>
      <c r="C11" s="30"/>
      <c r="D11" s="30"/>
      <c r="E11" s="11">
        <v>0</v>
      </c>
      <c r="F11" s="11">
        <v>0</v>
      </c>
      <c r="G11" s="34">
        <f t="shared" si="0"/>
        <v>0</v>
      </c>
      <c r="H11" s="32">
        <v>0</v>
      </c>
      <c r="I11" s="25">
        <f t="shared" si="1"/>
        <v>0</v>
      </c>
      <c r="J11" s="30" t="s">
        <v>58</v>
      </c>
      <c r="K11" s="30" t="s">
        <v>59</v>
      </c>
    </row>
    <row r="12" spans="1:11" ht="15.75" customHeight="1" x14ac:dyDescent="0.35">
      <c r="A12" s="30" t="s">
        <v>68</v>
      </c>
      <c r="B12" s="30"/>
      <c r="C12" s="30"/>
      <c r="D12" s="30"/>
      <c r="E12" s="11">
        <v>0</v>
      </c>
      <c r="F12" s="11">
        <v>0</v>
      </c>
      <c r="G12" s="34">
        <f t="shared" si="0"/>
        <v>0</v>
      </c>
      <c r="H12" s="32">
        <v>0</v>
      </c>
      <c r="I12" s="25">
        <f t="shared" si="1"/>
        <v>0</v>
      </c>
      <c r="J12" s="30" t="s">
        <v>58</v>
      </c>
      <c r="K12" s="30" t="s">
        <v>59</v>
      </c>
    </row>
    <row r="13" spans="1:11" ht="15.75" customHeight="1" x14ac:dyDescent="0.35">
      <c r="A13" s="30" t="s">
        <v>69</v>
      </c>
      <c r="B13" s="30"/>
      <c r="C13" s="30"/>
      <c r="D13" s="30"/>
      <c r="E13" s="11">
        <v>0</v>
      </c>
      <c r="F13" s="11">
        <v>0</v>
      </c>
      <c r="G13" s="34">
        <f t="shared" si="0"/>
        <v>0</v>
      </c>
      <c r="H13" s="32">
        <v>0</v>
      </c>
      <c r="I13" s="25">
        <f t="shared" si="1"/>
        <v>0</v>
      </c>
      <c r="J13" s="30" t="s">
        <v>58</v>
      </c>
      <c r="K13" s="30" t="s">
        <v>59</v>
      </c>
    </row>
    <row r="14" spans="1:11" ht="15.75" customHeight="1" x14ac:dyDescent="0.35">
      <c r="A14" s="30" t="s">
        <v>70</v>
      </c>
      <c r="B14" s="30"/>
      <c r="C14" s="30"/>
      <c r="D14" s="30"/>
      <c r="E14" s="11">
        <v>0</v>
      </c>
      <c r="F14" s="11">
        <v>0</v>
      </c>
      <c r="G14" s="34">
        <f t="shared" si="0"/>
        <v>0</v>
      </c>
      <c r="H14" s="32">
        <v>0</v>
      </c>
      <c r="I14" s="25">
        <f t="shared" si="1"/>
        <v>0</v>
      </c>
      <c r="J14" s="30" t="s">
        <v>58</v>
      </c>
      <c r="K14" s="30" t="s">
        <v>59</v>
      </c>
    </row>
    <row r="15" spans="1:11" ht="19.5" customHeight="1" x14ac:dyDescent="0.35">
      <c r="A15" s="33" t="s">
        <v>71</v>
      </c>
      <c r="B15" s="33"/>
      <c r="C15" s="33"/>
      <c r="D15" s="33"/>
      <c r="E15" s="24">
        <f>SUM(E3:E14)</f>
        <v>0</v>
      </c>
      <c r="F15" s="24">
        <f>SUM(F3:F14)</f>
        <v>0</v>
      </c>
      <c r="G15" s="24">
        <f>SUM(G3:G14)</f>
        <v>0</v>
      </c>
      <c r="H15" s="16">
        <f>SUM(H3:H14)</f>
        <v>0</v>
      </c>
      <c r="I15" s="25">
        <f t="shared" si="1"/>
        <v>0</v>
      </c>
    </row>
    <row r="17" spans="1:1" x14ac:dyDescent="0.35">
      <c r="A17" s="19" t="s">
        <v>40</v>
      </c>
    </row>
    <row r="18" spans="1:1" ht="12.75" customHeight="1" x14ac:dyDescent="0.35">
      <c r="A18" s="20" t="s">
        <v>41</v>
      </c>
    </row>
    <row r="19" spans="1:1" ht="12.75" customHeight="1" x14ac:dyDescent="0.35">
      <c r="A19" s="21" t="s">
        <v>42</v>
      </c>
    </row>
    <row r="20" spans="1:1" ht="12.75" customHeight="1" x14ac:dyDescent="0.35">
      <c r="A20" s="22" t="s">
        <v>43</v>
      </c>
    </row>
    <row r="21" spans="1:1" ht="12.75" customHeight="1" x14ac:dyDescent="0.35">
      <c r="A21" s="23" t="s">
        <v>44</v>
      </c>
    </row>
  </sheetData>
  <sheetProtection algorithmName="SHA-512" hashValue="7M4NeUA9+Y7IaNRC96Pnya7s9lxNipiIyzPcnpMbp6hTaAmfXzzJg69idHW3OyTnh05ETYFWJcM4MzL3b1zfaQ==" saltValue="ei9BTNTvGMwqS8r4iBhuFw==" spinCount="100000" sheet="1" objects="1" scenarios="1"/>
  <mergeCells count="2">
    <mergeCell ref="A1:K1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rightToLeft="1" zoomScaleNormal="100" workbookViewId="0">
      <selection activeCell="D15" sqref="D15"/>
    </sheetView>
  </sheetViews>
  <sheetFormatPr defaultColWidth="8.6328125" defaultRowHeight="14.5" x14ac:dyDescent="0.35"/>
  <cols>
    <col min="1" max="1" width="22" style="7" customWidth="1"/>
    <col min="2" max="14" width="9" style="7" customWidth="1"/>
    <col min="15" max="16384" width="8.6328125" style="7"/>
  </cols>
  <sheetData>
    <row r="1" spans="1:14" ht="27.75" customHeight="1" x14ac:dyDescent="0.35">
      <c r="A1" s="6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5" customHeight="1" x14ac:dyDescent="0.35">
      <c r="A2" s="29" t="s">
        <v>73</v>
      </c>
      <c r="B2" s="35" t="s">
        <v>74</v>
      </c>
      <c r="C2" s="35" t="s">
        <v>75</v>
      </c>
      <c r="D2" s="35" t="s">
        <v>76</v>
      </c>
      <c r="E2" s="35" t="s">
        <v>77</v>
      </c>
      <c r="F2" s="35" t="s">
        <v>78</v>
      </c>
      <c r="G2" s="35" t="s">
        <v>79</v>
      </c>
      <c r="H2" s="35" t="s">
        <v>80</v>
      </c>
      <c r="I2" s="35" t="s">
        <v>81</v>
      </c>
      <c r="J2" s="35" t="s">
        <v>82</v>
      </c>
      <c r="K2" s="35" t="s">
        <v>83</v>
      </c>
      <c r="L2" s="35" t="s">
        <v>84</v>
      </c>
      <c r="M2" s="35" t="s">
        <v>85</v>
      </c>
      <c r="N2" s="36" t="s">
        <v>86</v>
      </c>
    </row>
    <row r="3" spans="1:14" ht="21.75" customHeight="1" x14ac:dyDescent="0.35">
      <c r="A3" s="9" t="s">
        <v>87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5.75" customHeight="1" x14ac:dyDescent="0.35">
      <c r="A4" s="10" t="s">
        <v>88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34">
        <f>SUM(B4:M4)</f>
        <v>0</v>
      </c>
    </row>
    <row r="5" spans="1:14" ht="15.75" customHeight="1" x14ac:dyDescent="0.35">
      <c r="A5" s="10" t="s">
        <v>89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34">
        <f>SUM(B5:M5)</f>
        <v>0</v>
      </c>
    </row>
    <row r="6" spans="1:14" ht="15.75" customHeight="1" x14ac:dyDescent="0.35">
      <c r="A6" s="10" t="s">
        <v>90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34">
        <f>SUM(B6:M6)</f>
        <v>0</v>
      </c>
    </row>
    <row r="7" spans="1:14" ht="15.75" customHeight="1" x14ac:dyDescent="0.35">
      <c r="A7" s="10" t="s">
        <v>91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34">
        <f>SUM(B7:M7)</f>
        <v>0</v>
      </c>
    </row>
    <row r="8" spans="1:14" ht="19.5" customHeight="1" x14ac:dyDescent="0.35">
      <c r="A8" s="12" t="s">
        <v>92</v>
      </c>
      <c r="B8" s="24">
        <f t="shared" ref="B8:N8" si="0">SUM(B4:B7)</f>
        <v>0</v>
      </c>
      <c r="C8" s="24">
        <f t="shared" si="0"/>
        <v>0</v>
      </c>
      <c r="D8" s="24">
        <f t="shared" si="0"/>
        <v>0</v>
      </c>
      <c r="E8" s="24">
        <f t="shared" si="0"/>
        <v>0</v>
      </c>
      <c r="F8" s="24">
        <f t="shared" si="0"/>
        <v>0</v>
      </c>
      <c r="G8" s="24">
        <f t="shared" si="0"/>
        <v>0</v>
      </c>
      <c r="H8" s="24">
        <f t="shared" si="0"/>
        <v>0</v>
      </c>
      <c r="I8" s="24">
        <f t="shared" si="0"/>
        <v>0</v>
      </c>
      <c r="J8" s="24">
        <f t="shared" si="0"/>
        <v>0</v>
      </c>
      <c r="K8" s="24">
        <f t="shared" si="0"/>
        <v>0</v>
      </c>
      <c r="L8" s="24">
        <f t="shared" si="0"/>
        <v>0</v>
      </c>
      <c r="M8" s="24">
        <f t="shared" si="0"/>
        <v>0</v>
      </c>
      <c r="N8" s="24">
        <f t="shared" si="0"/>
        <v>0</v>
      </c>
    </row>
    <row r="9" spans="1:14" ht="21.75" customHeight="1" x14ac:dyDescent="0.35">
      <c r="A9" s="9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ht="15.75" customHeight="1" x14ac:dyDescent="0.35">
      <c r="A10" s="10" t="s">
        <v>94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31">
        <f>SUM(B10:M10)</f>
        <v>0</v>
      </c>
    </row>
    <row r="11" spans="1:14" ht="15.75" customHeight="1" x14ac:dyDescent="0.35">
      <c r="A11" s="10" t="s">
        <v>95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31">
        <f>SUM(B11:M11)</f>
        <v>0</v>
      </c>
    </row>
    <row r="12" spans="1:14" ht="15.75" customHeight="1" x14ac:dyDescent="0.35">
      <c r="A12" s="10" t="s">
        <v>96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31">
        <f>SUM(B12:M12)</f>
        <v>0</v>
      </c>
    </row>
    <row r="13" spans="1:14" ht="15.75" customHeight="1" x14ac:dyDescent="0.35">
      <c r="A13" s="10" t="s">
        <v>97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31">
        <f>SUM(B13:M13)</f>
        <v>0</v>
      </c>
    </row>
    <row r="14" spans="1:14" ht="19.5" customHeight="1" x14ac:dyDescent="0.35">
      <c r="A14" s="12" t="s">
        <v>98</v>
      </c>
      <c r="B14" s="38">
        <f t="shared" ref="B14:N14" si="1">SUM(B10:B13)</f>
        <v>0</v>
      </c>
      <c r="C14" s="38">
        <f t="shared" si="1"/>
        <v>0</v>
      </c>
      <c r="D14" s="38">
        <f t="shared" si="1"/>
        <v>0</v>
      </c>
      <c r="E14" s="38">
        <f t="shared" si="1"/>
        <v>0</v>
      </c>
      <c r="F14" s="38">
        <f t="shared" si="1"/>
        <v>0</v>
      </c>
      <c r="G14" s="38">
        <f t="shared" si="1"/>
        <v>0</v>
      </c>
      <c r="H14" s="38">
        <f t="shared" si="1"/>
        <v>0</v>
      </c>
      <c r="I14" s="38">
        <f t="shared" si="1"/>
        <v>0</v>
      </c>
      <c r="J14" s="38">
        <f t="shared" si="1"/>
        <v>0</v>
      </c>
      <c r="K14" s="38">
        <f t="shared" si="1"/>
        <v>0</v>
      </c>
      <c r="L14" s="38">
        <f t="shared" si="1"/>
        <v>0</v>
      </c>
      <c r="M14" s="38">
        <f t="shared" si="1"/>
        <v>0</v>
      </c>
      <c r="N14" s="38">
        <f t="shared" si="1"/>
        <v>0</v>
      </c>
    </row>
    <row r="15" spans="1:14" ht="21.75" customHeight="1" x14ac:dyDescent="0.35">
      <c r="A15" s="37" t="s">
        <v>99</v>
      </c>
      <c r="B15" s="24">
        <f t="shared" ref="B15:N15" si="2">B8-B14</f>
        <v>0</v>
      </c>
      <c r="C15" s="24">
        <f t="shared" si="2"/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  <c r="H15" s="24">
        <f t="shared" si="2"/>
        <v>0</v>
      </c>
      <c r="I15" s="24">
        <f t="shared" si="2"/>
        <v>0</v>
      </c>
      <c r="J15" s="24">
        <f t="shared" si="2"/>
        <v>0</v>
      </c>
      <c r="K15" s="24">
        <f t="shared" si="2"/>
        <v>0</v>
      </c>
      <c r="L15" s="24">
        <f t="shared" si="2"/>
        <v>0</v>
      </c>
      <c r="M15" s="24">
        <f t="shared" si="2"/>
        <v>0</v>
      </c>
      <c r="N15" s="24">
        <f t="shared" si="2"/>
        <v>0</v>
      </c>
    </row>
    <row r="16" spans="1:14" ht="16.5" customHeight="1" x14ac:dyDescent="0.35">
      <c r="A16" s="18" t="s">
        <v>100</v>
      </c>
      <c r="B16" s="39">
        <f t="shared" ref="B16:N16" si="3">IF(B8=0,0,B15/B8)</f>
        <v>0</v>
      </c>
      <c r="C16" s="39">
        <f t="shared" si="3"/>
        <v>0</v>
      </c>
      <c r="D16" s="39">
        <f t="shared" si="3"/>
        <v>0</v>
      </c>
      <c r="E16" s="39">
        <f t="shared" si="3"/>
        <v>0</v>
      </c>
      <c r="F16" s="39">
        <f t="shared" si="3"/>
        <v>0</v>
      </c>
      <c r="G16" s="39">
        <f t="shared" si="3"/>
        <v>0</v>
      </c>
      <c r="H16" s="39">
        <f t="shared" si="3"/>
        <v>0</v>
      </c>
      <c r="I16" s="39">
        <f t="shared" si="3"/>
        <v>0</v>
      </c>
      <c r="J16" s="39">
        <f t="shared" si="3"/>
        <v>0</v>
      </c>
      <c r="K16" s="39">
        <f t="shared" si="3"/>
        <v>0</v>
      </c>
      <c r="L16" s="39">
        <f t="shared" si="3"/>
        <v>0</v>
      </c>
      <c r="M16" s="39">
        <f t="shared" si="3"/>
        <v>0</v>
      </c>
      <c r="N16" s="39">
        <f t="shared" si="3"/>
        <v>0</v>
      </c>
    </row>
    <row r="18" spans="1:1" x14ac:dyDescent="0.35">
      <c r="A18" s="19" t="s">
        <v>40</v>
      </c>
    </row>
    <row r="19" spans="1:1" ht="12.75" customHeight="1" x14ac:dyDescent="0.35">
      <c r="A19" s="20" t="s">
        <v>41</v>
      </c>
    </row>
    <row r="20" spans="1:1" ht="12.75" customHeight="1" x14ac:dyDescent="0.35">
      <c r="A20" s="21" t="s">
        <v>42</v>
      </c>
    </row>
    <row r="21" spans="1:1" ht="12.75" customHeight="1" x14ac:dyDescent="0.35">
      <c r="A21" s="22" t="s">
        <v>43</v>
      </c>
    </row>
    <row r="22" spans="1:1" ht="12.75" customHeight="1" x14ac:dyDescent="0.35">
      <c r="A22" s="23" t="s">
        <v>44</v>
      </c>
    </row>
  </sheetData>
  <sheetProtection algorithmName="SHA-512" hashValue="AiYZ23zmF8hFYk9YI6u+9Bz7ZcZ8lqLUmsTUsMrhmBJNE+6bPT3OxiFUd0v77bx0TFt6U4gBwyi2L5VHYjBMIQ==" saltValue="FsmSgr4smKXPNdV2RO7LeQ==" spinCount="100000" sheet="1" objects="1" scenarios="1"/>
  <mergeCells count="3">
    <mergeCell ref="A1:N1"/>
    <mergeCell ref="A3:N3"/>
    <mergeCell ref="A9:N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rightToLeft="1" zoomScaleNormal="100" workbookViewId="0">
      <selection activeCell="F11" sqref="F11"/>
    </sheetView>
  </sheetViews>
  <sheetFormatPr defaultColWidth="8.6328125" defaultRowHeight="14.5" x14ac:dyDescent="0.35"/>
  <cols>
    <col min="1" max="1" width="18" style="7" customWidth="1"/>
    <col min="2" max="2" width="14" style="7" customWidth="1"/>
    <col min="3" max="3" width="16" style="7" customWidth="1"/>
    <col min="4" max="4" width="18" style="7" customWidth="1"/>
    <col min="5" max="5" width="14" style="7" customWidth="1"/>
    <col min="6" max="7" width="16" style="7" customWidth="1"/>
    <col min="8" max="8" width="18" style="7" customWidth="1"/>
    <col min="9" max="16384" width="8.6328125" style="7"/>
  </cols>
  <sheetData>
    <row r="1" spans="1:8" ht="27.75" customHeight="1" x14ac:dyDescent="0.35">
      <c r="A1" s="6" t="s">
        <v>101</v>
      </c>
      <c r="B1" s="6"/>
      <c r="C1" s="6"/>
      <c r="D1" s="6"/>
      <c r="E1" s="6"/>
      <c r="F1" s="6"/>
      <c r="G1" s="6"/>
      <c r="H1" s="6"/>
    </row>
    <row r="2" spans="1:8" ht="21.75" customHeight="1" x14ac:dyDescent="0.35">
      <c r="A2" s="29" t="s">
        <v>102</v>
      </c>
      <c r="B2" s="29" t="s">
        <v>103</v>
      </c>
      <c r="C2" s="29" t="s">
        <v>104</v>
      </c>
      <c r="D2" s="29" t="s">
        <v>105</v>
      </c>
      <c r="E2" s="29" t="s">
        <v>106</v>
      </c>
      <c r="F2" s="29" t="s">
        <v>54</v>
      </c>
      <c r="G2" s="29" t="s">
        <v>107</v>
      </c>
      <c r="H2" s="29" t="s">
        <v>108</v>
      </c>
    </row>
    <row r="3" spans="1:8" ht="15.75" customHeight="1" x14ac:dyDescent="0.35">
      <c r="A3" s="30" t="s">
        <v>109</v>
      </c>
      <c r="B3" s="14">
        <v>0</v>
      </c>
      <c r="C3" s="11">
        <v>0</v>
      </c>
      <c r="D3" s="34">
        <f t="shared" ref="D3:D13" si="0">IF(B3=0,0,C3/B3)</f>
        <v>0</v>
      </c>
      <c r="E3" s="32">
        <v>0</v>
      </c>
      <c r="F3" s="25">
        <f t="shared" ref="F3:F13" si="1">IF(E3=0,0,C3/E3)</f>
        <v>0</v>
      </c>
      <c r="G3" s="15">
        <v>1</v>
      </c>
      <c r="H3" s="40" t="str">
        <f t="shared" ref="H3:H12" si="2">IF(C3=0,"",IF(C3=MAX(C$3:C$12),"👑 الأعلى قيمة",IF(C3&gt;=LARGE(C$3:C$12,3),"⭐ عميل مهم",IF(G3&gt;=0.9,"✅ موثوق","📋 عادي"))))</f>
        <v/>
      </c>
    </row>
    <row r="4" spans="1:8" ht="15.75" customHeight="1" x14ac:dyDescent="0.35">
      <c r="A4" s="30" t="s">
        <v>110</v>
      </c>
      <c r="B4" s="14">
        <v>0</v>
      </c>
      <c r="C4" s="11">
        <v>0</v>
      </c>
      <c r="D4" s="34">
        <f t="shared" si="0"/>
        <v>0</v>
      </c>
      <c r="E4" s="32">
        <v>0</v>
      </c>
      <c r="F4" s="25">
        <f t="shared" si="1"/>
        <v>0</v>
      </c>
      <c r="G4" s="15">
        <v>1</v>
      </c>
      <c r="H4" s="40" t="str">
        <f t="shared" si="2"/>
        <v/>
      </c>
    </row>
    <row r="5" spans="1:8" ht="15.75" customHeight="1" x14ac:dyDescent="0.35">
      <c r="A5" s="30" t="s">
        <v>111</v>
      </c>
      <c r="B5" s="14">
        <v>0</v>
      </c>
      <c r="C5" s="11">
        <v>0</v>
      </c>
      <c r="D5" s="34">
        <f t="shared" si="0"/>
        <v>0</v>
      </c>
      <c r="E5" s="32">
        <v>0</v>
      </c>
      <c r="F5" s="25">
        <f t="shared" si="1"/>
        <v>0</v>
      </c>
      <c r="G5" s="15">
        <v>1</v>
      </c>
      <c r="H5" s="40" t="str">
        <f t="shared" si="2"/>
        <v/>
      </c>
    </row>
    <row r="6" spans="1:8" ht="15.75" customHeight="1" x14ac:dyDescent="0.35">
      <c r="A6" s="30" t="s">
        <v>112</v>
      </c>
      <c r="B6" s="14">
        <v>0</v>
      </c>
      <c r="C6" s="11">
        <v>0</v>
      </c>
      <c r="D6" s="34">
        <f t="shared" si="0"/>
        <v>0</v>
      </c>
      <c r="E6" s="32">
        <v>0</v>
      </c>
      <c r="F6" s="25">
        <f t="shared" si="1"/>
        <v>0</v>
      </c>
      <c r="G6" s="15">
        <v>1</v>
      </c>
      <c r="H6" s="40" t="str">
        <f t="shared" si="2"/>
        <v/>
      </c>
    </row>
    <row r="7" spans="1:8" ht="15.75" customHeight="1" x14ac:dyDescent="0.35">
      <c r="A7" s="30" t="s">
        <v>113</v>
      </c>
      <c r="B7" s="14">
        <v>0</v>
      </c>
      <c r="C7" s="11">
        <v>0</v>
      </c>
      <c r="D7" s="34">
        <f t="shared" si="0"/>
        <v>0</v>
      </c>
      <c r="E7" s="32">
        <v>0</v>
      </c>
      <c r="F7" s="25">
        <f t="shared" si="1"/>
        <v>0</v>
      </c>
      <c r="G7" s="15">
        <v>1</v>
      </c>
      <c r="H7" s="40" t="str">
        <f t="shared" si="2"/>
        <v/>
      </c>
    </row>
    <row r="8" spans="1:8" ht="15.75" customHeight="1" x14ac:dyDescent="0.35">
      <c r="A8" s="30" t="s">
        <v>114</v>
      </c>
      <c r="B8" s="14">
        <v>0</v>
      </c>
      <c r="C8" s="11">
        <v>0</v>
      </c>
      <c r="D8" s="34">
        <f t="shared" si="0"/>
        <v>0</v>
      </c>
      <c r="E8" s="32">
        <v>0</v>
      </c>
      <c r="F8" s="25">
        <f t="shared" si="1"/>
        <v>0</v>
      </c>
      <c r="G8" s="15">
        <v>1</v>
      </c>
      <c r="H8" s="40" t="str">
        <f t="shared" si="2"/>
        <v/>
      </c>
    </row>
    <row r="9" spans="1:8" ht="15.75" customHeight="1" x14ac:dyDescent="0.35">
      <c r="A9" s="30" t="s">
        <v>115</v>
      </c>
      <c r="B9" s="14">
        <v>0</v>
      </c>
      <c r="C9" s="11">
        <v>0</v>
      </c>
      <c r="D9" s="34">
        <f t="shared" si="0"/>
        <v>0</v>
      </c>
      <c r="E9" s="32">
        <v>0</v>
      </c>
      <c r="F9" s="25">
        <f t="shared" si="1"/>
        <v>0</v>
      </c>
      <c r="G9" s="15">
        <v>1</v>
      </c>
      <c r="H9" s="40" t="str">
        <f t="shared" si="2"/>
        <v/>
      </c>
    </row>
    <row r="10" spans="1:8" ht="15.75" customHeight="1" x14ac:dyDescent="0.35">
      <c r="A10" s="30" t="s">
        <v>116</v>
      </c>
      <c r="B10" s="14">
        <v>0</v>
      </c>
      <c r="C10" s="11">
        <v>0</v>
      </c>
      <c r="D10" s="34">
        <f t="shared" si="0"/>
        <v>0</v>
      </c>
      <c r="E10" s="32">
        <v>0</v>
      </c>
      <c r="F10" s="25">
        <f t="shared" si="1"/>
        <v>0</v>
      </c>
      <c r="G10" s="15">
        <v>1</v>
      </c>
      <c r="H10" s="40" t="str">
        <f t="shared" si="2"/>
        <v/>
      </c>
    </row>
    <row r="11" spans="1:8" ht="15.75" customHeight="1" x14ac:dyDescent="0.35">
      <c r="A11" s="30" t="s">
        <v>117</v>
      </c>
      <c r="B11" s="14">
        <v>0</v>
      </c>
      <c r="C11" s="11">
        <v>0</v>
      </c>
      <c r="D11" s="34">
        <f t="shared" si="0"/>
        <v>0</v>
      </c>
      <c r="E11" s="32">
        <v>0</v>
      </c>
      <c r="F11" s="25">
        <f t="shared" si="1"/>
        <v>0</v>
      </c>
      <c r="G11" s="15">
        <v>1</v>
      </c>
      <c r="H11" s="40" t="str">
        <f t="shared" si="2"/>
        <v/>
      </c>
    </row>
    <row r="12" spans="1:8" ht="15.75" customHeight="1" x14ac:dyDescent="0.35">
      <c r="A12" s="30" t="s">
        <v>118</v>
      </c>
      <c r="B12" s="14">
        <v>0</v>
      </c>
      <c r="C12" s="11">
        <v>0</v>
      </c>
      <c r="D12" s="34">
        <f t="shared" si="0"/>
        <v>0</v>
      </c>
      <c r="E12" s="32">
        <v>0</v>
      </c>
      <c r="F12" s="25">
        <f t="shared" si="1"/>
        <v>0</v>
      </c>
      <c r="G12" s="15">
        <v>1</v>
      </c>
      <c r="H12" s="40" t="str">
        <f t="shared" si="2"/>
        <v/>
      </c>
    </row>
    <row r="13" spans="1:8" ht="19.5" customHeight="1" x14ac:dyDescent="0.35">
      <c r="A13" s="12" t="s">
        <v>71</v>
      </c>
      <c r="B13" s="24">
        <f>SUM(B3:B12)</f>
        <v>0</v>
      </c>
      <c r="C13" s="24">
        <f>SUM(C3:C12)</f>
        <v>0</v>
      </c>
      <c r="D13" s="34">
        <f t="shared" si="0"/>
        <v>0</v>
      </c>
      <c r="E13" s="13">
        <f>SUM(E3:E12)</f>
        <v>0</v>
      </c>
      <c r="F13" s="25">
        <f t="shared" si="1"/>
        <v>0</v>
      </c>
    </row>
    <row r="15" spans="1:8" x14ac:dyDescent="0.35">
      <c r="A15" s="19" t="s">
        <v>40</v>
      </c>
    </row>
    <row r="16" spans="1:8" ht="12.75" customHeight="1" x14ac:dyDescent="0.35">
      <c r="A16" s="20" t="s">
        <v>41</v>
      </c>
    </row>
    <row r="17" spans="1:1" ht="12.75" customHeight="1" x14ac:dyDescent="0.35">
      <c r="A17" s="21" t="s">
        <v>42</v>
      </c>
    </row>
    <row r="18" spans="1:1" ht="12.75" customHeight="1" x14ac:dyDescent="0.35">
      <c r="A18" s="22" t="s">
        <v>43</v>
      </c>
    </row>
    <row r="19" spans="1:1" ht="12.75" customHeight="1" x14ac:dyDescent="0.35">
      <c r="A19" s="23" t="s">
        <v>44</v>
      </c>
    </row>
  </sheetData>
  <sheetProtection algorithmName="SHA-512" hashValue="9X6rslFpNyALHETZHB7crQ84mo0o9OhLQPrVob9cOGnZz+2DW3s5GT65uDf4nKYh677KO+k9nzTDRXNC8HM84g==" saltValue="GaPKMpSsElVhW4thILiQvQ==" spinCount="100000" sheet="1" objects="1" scenario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rightToLeft="1" zoomScaleNormal="100" workbookViewId="0">
      <selection activeCell="B19" sqref="B19"/>
    </sheetView>
  </sheetViews>
  <sheetFormatPr defaultColWidth="8.6328125" defaultRowHeight="14.5" x14ac:dyDescent="0.35"/>
  <cols>
    <col min="1" max="1" width="34" style="7" customWidth="1"/>
    <col min="2" max="2" width="18" style="7" customWidth="1"/>
    <col min="3" max="5" width="10" style="7" customWidth="1"/>
    <col min="6" max="16384" width="8.6328125" style="7"/>
  </cols>
  <sheetData>
    <row r="1" spans="1:5" ht="27.75" customHeight="1" x14ac:dyDescent="0.35">
      <c r="A1" s="6" t="s">
        <v>119</v>
      </c>
      <c r="B1" s="6"/>
      <c r="C1" s="6"/>
      <c r="D1" s="6"/>
      <c r="E1" s="6"/>
    </row>
    <row r="3" spans="1:5" ht="21.75" customHeight="1" x14ac:dyDescent="0.35">
      <c r="A3" s="9" t="s">
        <v>120</v>
      </c>
      <c r="B3" s="9"/>
      <c r="C3" s="9"/>
      <c r="D3" s="9"/>
      <c r="E3" s="9"/>
    </row>
    <row r="4" spans="1:5" ht="16.5" customHeight="1" x14ac:dyDescent="0.35">
      <c r="A4" s="10" t="s">
        <v>121</v>
      </c>
      <c r="B4" s="11">
        <v>120000</v>
      </c>
    </row>
    <row r="5" spans="1:5" ht="16.5" customHeight="1" x14ac:dyDescent="0.35">
      <c r="A5" s="10" t="s">
        <v>122</v>
      </c>
      <c r="B5" s="41">
        <v>0.03</v>
      </c>
    </row>
    <row r="6" spans="1:5" ht="16.5" customHeight="1" x14ac:dyDescent="0.35">
      <c r="A6" s="10" t="s">
        <v>123</v>
      </c>
      <c r="B6" s="34">
        <f>B4/(1-B5)</f>
        <v>123711.34020618557</v>
      </c>
    </row>
    <row r="8" spans="1:5" ht="21.75" customHeight="1" x14ac:dyDescent="0.35">
      <c r="A8" s="17" t="s">
        <v>124</v>
      </c>
      <c r="B8" s="17"/>
      <c r="C8" s="17"/>
      <c r="D8" s="17"/>
      <c r="E8" s="17"/>
    </row>
    <row r="9" spans="1:5" ht="16.5" customHeight="1" x14ac:dyDescent="0.35">
      <c r="A9" s="18" t="s">
        <v>125</v>
      </c>
    </row>
    <row r="10" spans="1:5" ht="16.5" customHeight="1" x14ac:dyDescent="0.35">
      <c r="A10" s="10" t="s">
        <v>126</v>
      </c>
      <c r="B10" s="11">
        <v>150</v>
      </c>
    </row>
    <row r="11" spans="1:5" ht="16.5" customHeight="1" x14ac:dyDescent="0.35">
      <c r="A11" s="10" t="s">
        <v>127</v>
      </c>
      <c r="B11" s="42">
        <f>IFERROR(B6/(22*8*12*0.7),0)</f>
        <v>83.679207390547603</v>
      </c>
    </row>
    <row r="12" spans="1:5" ht="6" customHeight="1" x14ac:dyDescent="0.35"/>
    <row r="13" spans="1:5" ht="16.5" customHeight="1" x14ac:dyDescent="0.35">
      <c r="A13" s="18" t="s">
        <v>128</v>
      </c>
    </row>
    <row r="14" spans="1:5" ht="16.5" customHeight="1" x14ac:dyDescent="0.35">
      <c r="A14" s="10" t="s">
        <v>129</v>
      </c>
      <c r="B14" s="11">
        <v>123</v>
      </c>
    </row>
    <row r="15" spans="1:5" ht="16.5" customHeight="1" x14ac:dyDescent="0.35">
      <c r="A15" s="10" t="s">
        <v>130</v>
      </c>
      <c r="B15" s="42">
        <f>IFERROR(B6/12/150,0)</f>
        <v>68.728522336769757</v>
      </c>
    </row>
    <row r="16" spans="1:5" ht="6" customHeight="1" x14ac:dyDescent="0.35"/>
    <row r="17" spans="1:2" ht="16.5" customHeight="1" x14ac:dyDescent="0.35">
      <c r="A17" s="18" t="s">
        <v>131</v>
      </c>
    </row>
    <row r="18" spans="1:2" ht="16.5" customHeight="1" x14ac:dyDescent="0.35">
      <c r="A18" s="10" t="s">
        <v>132</v>
      </c>
      <c r="B18" s="11">
        <v>200</v>
      </c>
    </row>
    <row r="19" spans="1:2" ht="16.5" customHeight="1" x14ac:dyDescent="0.35">
      <c r="A19" s="10" t="s">
        <v>133</v>
      </c>
      <c r="B19" s="42">
        <f>IFERROR(B6/12/B17,0)</f>
        <v>0</v>
      </c>
    </row>
    <row r="21" spans="1:2" x14ac:dyDescent="0.35">
      <c r="A21" s="19" t="s">
        <v>40</v>
      </c>
    </row>
    <row r="22" spans="1:2" ht="12.75" customHeight="1" x14ac:dyDescent="0.35">
      <c r="A22" s="20" t="s">
        <v>41</v>
      </c>
    </row>
    <row r="23" spans="1:2" ht="12.75" customHeight="1" x14ac:dyDescent="0.35">
      <c r="A23" s="21" t="s">
        <v>42</v>
      </c>
    </row>
    <row r="24" spans="1:2" ht="12.75" customHeight="1" x14ac:dyDescent="0.35">
      <c r="A24" s="22" t="s">
        <v>43</v>
      </c>
    </row>
    <row r="25" spans="1:2" ht="12.75" customHeight="1" x14ac:dyDescent="0.35">
      <c r="A25" s="23" t="s">
        <v>44</v>
      </c>
    </row>
  </sheetData>
  <sheetProtection algorithmName="SHA-512" hashValue="63PZ0yBTBkfxG3fkVRi4iRsBpBA0azcZhOdEZC++AG0kETJSLNlAQ4cKdv3s+0z2w0LtszGyQVFZEsviIXz7xw==" saltValue="edwXZ7cWFPCdbWdTeZEafQ==" spinCount="100000" sheet="1" objects="1" scenarios="1"/>
  <mergeCells count="3">
    <mergeCell ref="A1:E1"/>
    <mergeCell ref="A3:E3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حاسبة سعر الساعة</vt:lpstr>
      <vt:lpstr>متابعة المشاريع</vt:lpstr>
      <vt:lpstr>الدخل والمصاريف</vt:lpstr>
      <vt:lpstr>تحليل العملاء</vt:lpstr>
      <vt:lpstr>خطة الدخل السنوي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2026-06-12T05:52:46Z</dcterms:created>
  <dcterms:modified xsi:type="dcterms:W3CDTF">2026-06-13T17:14:21Z</dcterms:modified>
  <dc:language>en-US</dc:language>
</cp:coreProperties>
</file>