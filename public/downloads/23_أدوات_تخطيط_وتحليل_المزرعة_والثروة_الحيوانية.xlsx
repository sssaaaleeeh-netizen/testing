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77474C09-B8D4-49CF-A530-1B21CDE19CB1}" xr6:coauthVersionLast="47" xr6:coauthVersionMax="47" xr10:uidLastSave="{00000000-0000-0000-0000-000000000000}"/>
  <bookViews>
    <workbookView xWindow="-110" yWindow="-110" windowWidth="19420" windowHeight="10300" tabRatio="500" firstSheet="2" activeTab="4" xr2:uid="{00000000-000D-0000-FFFF-FFFF00000000}"/>
  </bookViews>
  <sheets>
    <sheet name="الغلاف" sheetId="1" r:id="rId1"/>
    <sheet name="قطيع الماشية" sheetId="2" r:id="rId2"/>
    <sheet name="المحاصيل الزراعية" sheetId="3" r:id="rId3"/>
    <sheet name="الأعلاف والري" sheetId="4" r:id="rId4"/>
    <sheet name="أرباح المزرعة" sheetId="5" r:id="rId5"/>
    <sheet name="التقويم الزراعي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5" l="1"/>
  <c r="B21" i="5"/>
  <c r="B10" i="5"/>
  <c r="B25" i="5" s="1"/>
  <c r="D17" i="4"/>
  <c r="E17" i="4" s="1"/>
  <c r="G17" i="4" s="1"/>
  <c r="D16" i="4"/>
  <c r="E16" i="4" s="1"/>
  <c r="G16" i="4" s="1"/>
  <c r="D15" i="4"/>
  <c r="E15" i="4" s="1"/>
  <c r="E14" i="4"/>
  <c r="G14" i="4" s="1"/>
  <c r="D14" i="4"/>
  <c r="E9" i="4"/>
  <c r="G9" i="4" s="1"/>
  <c r="D9" i="4"/>
  <c r="G8" i="4"/>
  <c r="E8" i="4"/>
  <c r="D8" i="4"/>
  <c r="D7" i="4"/>
  <c r="D10" i="4" s="1"/>
  <c r="D6" i="4"/>
  <c r="E6" i="4" s="1"/>
  <c r="G6" i="4" s="1"/>
  <c r="D5" i="4"/>
  <c r="E5" i="4" s="1"/>
  <c r="B8" i="3"/>
  <c r="G7" i="3"/>
  <c r="J7" i="3" s="1"/>
  <c r="J6" i="3"/>
  <c r="G6" i="3"/>
  <c r="G5" i="3"/>
  <c r="J5" i="3" s="1"/>
  <c r="J4" i="3"/>
  <c r="G4" i="3"/>
  <c r="G8" i="3" s="1"/>
  <c r="G3" i="3"/>
  <c r="J3" i="3" s="1"/>
  <c r="J8" i="3" s="1"/>
  <c r="B16" i="2"/>
  <c r="B12" i="2"/>
  <c r="J9" i="2"/>
  <c r="B14" i="2" s="1"/>
  <c r="D9" i="2"/>
  <c r="C9" i="2"/>
  <c r="B9" i="2"/>
  <c r="B15" i="2" s="1"/>
  <c r="J8" i="2"/>
  <c r="G8" i="2"/>
  <c r="J7" i="2"/>
  <c r="G7" i="2"/>
  <c r="J6" i="2"/>
  <c r="G6" i="2"/>
  <c r="J5" i="2"/>
  <c r="G5" i="2"/>
  <c r="J4" i="2"/>
  <c r="G4" i="2"/>
  <c r="J3" i="2"/>
  <c r="G3" i="2"/>
  <c r="G9" i="2" s="1"/>
  <c r="B13" i="2" s="1"/>
  <c r="G5" i="4" l="1"/>
  <c r="G15" i="4"/>
  <c r="G18" i="4" s="1"/>
  <c r="E18" i="4"/>
  <c r="E7" i="4"/>
  <c r="G7" i="4" s="1"/>
  <c r="D18" i="4"/>
  <c r="B24" i="5"/>
  <c r="E10" i="4" l="1"/>
  <c r="G10" i="4"/>
</calcChain>
</file>

<file path=xl/sharedStrings.xml><?xml version="1.0" encoding="utf-8"?>
<sst xmlns="http://schemas.openxmlformats.org/spreadsheetml/2006/main" count="188" uniqueCount="123">
  <si>
    <t>أدوات تخطيط وتحليل المزرعة والثروة الحيوانية</t>
  </si>
  <si>
    <t>أدر مزرعتك بذكاء – تتبع القطيع والمحاصيل والتكاليف والأرباح</t>
  </si>
  <si>
    <t>🐑 قطيع الماشية</t>
  </si>
  <si>
    <t>🌾 المحاصيل</t>
  </si>
  <si>
    <t>💧 الري والأعلاف</t>
  </si>
  <si>
    <t>تتبع الأعداد والصحة</t>
  </si>
  <si>
    <t>تكلفة وإنتاجية الزراعة</t>
  </si>
  <si>
    <t>حساب الاحتياجات</t>
  </si>
  <si>
    <t>💰 تكاليف وأرباح</t>
  </si>
  <si>
    <t>📊 الإنتاج</t>
  </si>
  <si>
    <t>📅 التقويم الزراعي</t>
  </si>
  <si>
    <t>ربحية المزرعة</t>
  </si>
  <si>
    <t>حليب · لحوم · محاصيل</t>
  </si>
  <si>
    <t>مواسم ومهام</t>
  </si>
  <si>
    <t>تتبع وإدارة قطيع الماشية</t>
  </si>
  <si>
    <t>نوع الماشية</t>
  </si>
  <si>
    <t>العدد الحالي</t>
  </si>
  <si>
    <t>المواليد</t>
  </si>
  <si>
    <t>النافق/المباع</t>
  </si>
  <si>
    <t>تكلفة الشراء/رأس (ريال)</t>
  </si>
  <si>
    <t>القيمة السوقية/رأس (ريال)</t>
  </si>
  <si>
    <t>إجمالي القيمة (ريال)</t>
  </si>
  <si>
    <t>تكلفة الإعاشة السنوية (ريال)</t>
  </si>
  <si>
    <t>الإنتاج السنوي (ريال)</t>
  </si>
  <si>
    <t>صافي الربح (ريال)</t>
  </si>
  <si>
    <t>أغنام (نعاج)</t>
  </si>
  <si>
    <t>ماعز</t>
  </si>
  <si>
    <t>إبل</t>
  </si>
  <si>
    <t>أبقار حلوب</t>
  </si>
  <si>
    <t>دجاج بياض</t>
  </si>
  <si>
    <t>الإجمالي</t>
  </si>
  <si>
    <t>ملخص الثروة الحيوانية</t>
  </si>
  <si>
    <t>إجمالي عدد الرؤوس</t>
  </si>
  <si>
    <t>القيمة الإجمالية للقطيع (ريال)</t>
  </si>
  <si>
    <t>صافي الربح السنوي (ريال)</t>
  </si>
  <si>
    <t>معدل المواليد %</t>
  </si>
  <si>
    <t>معدل النفوق/البيع %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</si>
  <si>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</si>
  <si>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</si>
  <si>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</si>
  <si>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</si>
  <si>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</si>
  <si>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إدارة المحاصيل والإنتاج الزراعي</t>
  </si>
  <si>
    <t>المحصول</t>
  </si>
  <si>
    <t>المساحة (هكتار)</t>
  </si>
  <si>
    <t>تكلفة البذور (ريال)</t>
  </si>
  <si>
    <t>تكلفة الأسمدة (ريال)</t>
  </si>
  <si>
    <t>تكلفة الري (ريال)</t>
  </si>
  <si>
    <t>تكلفة العمالة (ريال)</t>
  </si>
  <si>
    <t>إجمالي التكلفة (ريال)</t>
  </si>
  <si>
    <t>الإنتاج المتوقع (طن)</t>
  </si>
  <si>
    <t>سعر الطن (ريال)</t>
  </si>
  <si>
    <t>نخيل (تمور)</t>
  </si>
  <si>
    <t>قمح</t>
  </si>
  <si>
    <t>برسيم (أعلاف)</t>
  </si>
  <si>
    <t>خضروات</t>
  </si>
  <si>
    <t>حاسبة احتياجات الأعلاف ومياه الري</t>
  </si>
  <si>
    <t>احتياجات الأعلاف اليومية</t>
  </si>
  <si>
    <t>العدد</t>
  </si>
  <si>
    <t>علف/رأس يومياً (كجم)</t>
  </si>
  <si>
    <t>إجمالي يومي (كجم)</t>
  </si>
  <si>
    <t>إجمالي شهري (كجم)</t>
  </si>
  <si>
    <t>سعر الكجم (ريال)</t>
  </si>
  <si>
    <t>التكلفة الشهرية (ريال)</t>
  </si>
  <si>
    <t>أغنام</t>
  </si>
  <si>
    <t>أبقار</t>
  </si>
  <si>
    <t>دجاج</t>
  </si>
  <si>
    <t>احتياجات مياه الري</t>
  </si>
  <si>
    <t>احتياج المياه (م³/هكتار/يوم)</t>
  </si>
  <si>
    <t>يومي (م³)</t>
  </si>
  <si>
    <t>شهري (م³)</t>
  </si>
  <si>
    <t>تكلفة م³ (ريال)</t>
  </si>
  <si>
    <t>نخيل</t>
  </si>
  <si>
    <t>برسيم</t>
  </si>
  <si>
    <t>قائمة أرباح وخسائر المزرعة السنوية</t>
  </si>
  <si>
    <t>الإيرادات</t>
  </si>
  <si>
    <t>مبيعات الماشية (ريال)</t>
  </si>
  <si>
    <t>منتجات الألبان (ريال)</t>
  </si>
  <si>
    <t>بيع المحاصيل (ريال)</t>
  </si>
  <si>
    <t>بيع الأعلاف الفائضة (ريال)</t>
  </si>
  <si>
    <t>الدعم الزراعي الحكومي (ريال)</t>
  </si>
  <si>
    <t>إيرادات أخرى (ريال)</t>
  </si>
  <si>
    <t>إجمالي الإيرادات</t>
  </si>
  <si>
    <t>المصاريف</t>
  </si>
  <si>
    <t>الأعلاف (ريال)</t>
  </si>
  <si>
    <t>مياه الري والكهرباء (ريال)</t>
  </si>
  <si>
    <t>العمالة (ريال)</t>
  </si>
  <si>
    <t>البيطرة والأدوية (ريال)</t>
  </si>
  <si>
    <t>البذور والأسمدة (ريال)</t>
  </si>
  <si>
    <t>صيانة المعدات (ريال)</t>
  </si>
  <si>
    <t>الوقود (ريال)</t>
  </si>
  <si>
    <t>مصاريف أخرى (ريال)</t>
  </si>
  <si>
    <t>إجمالي المصاريف</t>
  </si>
  <si>
    <t>⭐ النتيجة</t>
  </si>
  <si>
    <t>صافي الربح/الخسارة (ريال)</t>
  </si>
  <si>
    <t>هامش الربح %</t>
  </si>
  <si>
    <t>نسبة المصاريف للإيرادات %</t>
  </si>
  <si>
    <t>التقويم الزراعي السنوي للمزرعة</t>
  </si>
  <si>
    <t>النشاط</t>
  </si>
  <si>
    <t>ينا</t>
  </si>
  <si>
    <t>فبر</t>
  </si>
  <si>
    <t>مار</t>
  </si>
  <si>
    <t>أبر</t>
  </si>
  <si>
    <t>ماي</t>
  </si>
  <si>
    <t>يون</t>
  </si>
  <si>
    <t>يول</t>
  </si>
  <si>
    <t>أغس</t>
  </si>
  <si>
    <t>سبت</t>
  </si>
  <si>
    <t>أكت</t>
  </si>
  <si>
    <t>نوف</t>
  </si>
  <si>
    <t>ديس</t>
  </si>
  <si>
    <t>ملاحظات</t>
  </si>
  <si>
    <t>زراعة القمح</t>
  </si>
  <si>
    <t>●</t>
  </si>
  <si>
    <t>حصاد القمح</t>
  </si>
  <si>
    <t>زراعة البرسيم</t>
  </si>
  <si>
    <t>حش البرسيم</t>
  </si>
  <si>
    <t>تلقيح النخيل</t>
  </si>
  <si>
    <t>جني التمور</t>
  </si>
  <si>
    <t>موسم ولادة الأغنام</t>
  </si>
  <si>
    <t>جز صوف الأغنام</t>
  </si>
  <si>
    <t>تطعيم الماشية</t>
  </si>
  <si>
    <t>صيانة أنظمة الري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</si>
</sst>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9" x14ac:knownFonts="1">
    <font>
      <sz val="11"/>
      <color theme="1"/>
      <name val="Calibri"/>
      <family val="2"/>
      <charset val="1"/>
    </font>
    <font>
      <b/>
      <sz val="19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0"/>
      <color rgb="FF7B0000"/>
      <name val="Arial"/>
      <charset val="1"/>
    </font>
    <font>
      <b/>
      <sz val="8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7D32"/>
        <bgColor rgb="FF008000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F9F9F9"/>
      </patternFill>
    </fill>
    <fill>
      <patternFill patternType="solid">
        <fgColor rgb="FF2E5FA3"/>
        <bgColor rgb="FF3366FF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6" fillId="2" borderId="2" xfId="0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right" vertical="center"/>
    </xf>
    <xf numFmtId="0" fontId="12" fillId="0" borderId="0" xfId="0" applyFont="1"/>
    <xf numFmtId="0" fontId="13" fillId="5" borderId="2" xfId="0" applyFont="1" applyFill="1" applyBorder="1"/>
    <xf numFmtId="0" fontId="14" fillId="6" borderId="2" xfId="0" applyFont="1" applyFill="1" applyBorder="1"/>
    <xf numFmtId="0" fontId="15" fillId="8" borderId="2" xfId="0" applyFont="1" applyFill="1" applyBorder="1"/>
    <xf numFmtId="0" fontId="16" fillId="9" borderId="2" xfId="0" applyFont="1" applyFill="1" applyBorder="1"/>
    <xf numFmtId="0" fontId="8" fillId="5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49" fontId="7" fillId="5" borderId="2" xfId="0" applyNumberFormat="1" applyFont="1" applyFill="1" applyBorder="1" applyAlignment="1" applyProtection="1">
      <alignment horizontal="right" vertical="center"/>
      <protection locked="0"/>
    </xf>
    <xf numFmtId="3" fontId="7" fillId="5" borderId="2" xfId="0" applyNumberFormat="1" applyFont="1" applyFill="1" applyBorder="1" applyAlignment="1" applyProtection="1">
      <alignment horizontal="right" vertical="center"/>
      <protection locked="0"/>
    </xf>
    <xf numFmtId="0" fontId="3" fillId="7" borderId="2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Protection="1">
      <protection locked="0"/>
    </xf>
    <xf numFmtId="0" fontId="13" fillId="5" borderId="2" xfId="0" applyFont="1" applyFill="1" applyBorder="1" applyProtection="1">
      <protection locked="0"/>
    </xf>
    <xf numFmtId="0" fontId="14" fillId="6" borderId="2" xfId="0" applyFont="1" applyFill="1" applyBorder="1" applyProtection="1">
      <protection locked="0"/>
    </xf>
    <xf numFmtId="0" fontId="15" fillId="8" borderId="2" xfId="0" applyFont="1" applyFill="1" applyBorder="1" applyProtection="1">
      <protection locked="0"/>
    </xf>
    <xf numFmtId="0" fontId="16" fillId="9" borderId="2" xfId="0" applyFont="1" applyFill="1" applyBorder="1" applyProtection="1">
      <protection locked="0"/>
    </xf>
    <xf numFmtId="4" fontId="9" fillId="8" borderId="3" xfId="0" applyNumberFormat="1" applyFont="1" applyFill="1" applyBorder="1" applyAlignment="1" applyProtection="1">
      <alignment horizontal="right" vertical="center"/>
      <protection locked="0" hidden="1"/>
    </xf>
    <xf numFmtId="0" fontId="0" fillId="0" borderId="0" xfId="0" applyProtection="1">
      <protection locked="0" hidden="1"/>
    </xf>
    <xf numFmtId="3" fontId="8" fillId="6" borderId="2" xfId="0" applyNumberFormat="1" applyFont="1" applyFill="1" applyBorder="1" applyAlignment="1" applyProtection="1">
      <alignment horizontal="right" vertical="center"/>
      <protection locked="0" hidden="1"/>
    </xf>
    <xf numFmtId="3" fontId="9" fillId="8" borderId="3" xfId="0" applyNumberFormat="1" applyFont="1" applyFill="1" applyBorder="1" applyAlignment="1" applyProtection="1">
      <alignment horizontal="right" vertical="center"/>
      <protection locked="0" hidden="1"/>
    </xf>
    <xf numFmtId="164" fontId="9" fillId="8" borderId="3" xfId="0" applyNumberFormat="1" applyFont="1" applyFill="1" applyBorder="1" applyAlignment="1" applyProtection="1">
      <alignment horizontal="right" vertical="center"/>
      <protection locked="0" hidden="1"/>
    </xf>
    <xf numFmtId="165" fontId="7" fillId="5" borderId="2" xfId="0" applyNumberFormat="1" applyFont="1" applyFill="1" applyBorder="1" applyAlignment="1" applyProtection="1">
      <alignment horizontal="right" vertical="center"/>
      <protection locked="0"/>
    </xf>
    <xf numFmtId="165" fontId="9" fillId="8" borderId="3" xfId="0" applyNumberFormat="1" applyFont="1" applyFill="1" applyBorder="1" applyAlignment="1" applyProtection="1">
      <alignment horizontal="right" vertical="center"/>
      <protection locked="0" hidden="1"/>
    </xf>
    <xf numFmtId="0" fontId="10" fillId="7" borderId="2" xfId="0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4" fontId="7" fillId="5" borderId="2" xfId="0" applyNumberFormat="1" applyFont="1" applyFill="1" applyBorder="1" applyAlignment="1" applyProtection="1">
      <alignment horizontal="right" vertical="center"/>
      <protection locked="0"/>
    </xf>
    <xf numFmtId="0" fontId="8" fillId="10" borderId="2" xfId="0" applyFont="1" applyFill="1" applyBorder="1" applyAlignment="1" applyProtection="1">
      <alignment horizontal="left" vertical="center" wrapText="1"/>
      <protection locked="0"/>
    </xf>
    <xf numFmtId="0" fontId="3" fillId="7" borderId="2" xfId="0" applyFont="1" applyFill="1" applyBorder="1" applyAlignment="1" applyProtection="1">
      <alignment horizontal="center" vertical="center" wrapText="1"/>
      <protection locked="0"/>
    </xf>
    <xf numFmtId="165" fontId="8" fillId="6" borderId="2" xfId="0" applyNumberFormat="1" applyFont="1" applyFill="1" applyBorder="1" applyAlignment="1" applyProtection="1">
      <alignment horizontal="right" vertical="center"/>
      <protection locked="0" hidden="1"/>
    </xf>
    <xf numFmtId="4" fontId="17" fillId="9" borderId="3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EEAF1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C9A84C"/>
      <rgbColor rgb="FF1F3864"/>
      <rgbColor rgb="FF2E7D32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صافي الربح حسب المحصول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'المحاصيل الزراعية'!$J$2</c:f>
              <c:strCache>
                <c:ptCount val="1"/>
                <c:pt idx="0">
                  <c:v>صافي الربح (ريال)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'المحاصيل الزراعية'!$A$3:$A$7</c:f>
              <c:strCache>
                <c:ptCount val="4"/>
                <c:pt idx="0">
                  <c:v>نخيل (تمور)</c:v>
                </c:pt>
                <c:pt idx="1">
                  <c:v>قمح</c:v>
                </c:pt>
                <c:pt idx="2">
                  <c:v>برسيم (أعلاف)</c:v>
                </c:pt>
                <c:pt idx="3">
                  <c:v>خضروات</c:v>
                </c:pt>
              </c:strCache>
            </c:strRef>
          </c:cat>
          <c:val>
            <c:numRef>
              <c:f>'المحاصيل الزراعية'!$J$3:$J$7</c:f>
              <c:numCache>
                <c:formatCode>#,##0</c:formatCode>
                <c:ptCount val="5"/>
                <c:pt idx="0">
                  <c:v>65000</c:v>
                </c:pt>
                <c:pt idx="1">
                  <c:v>0</c:v>
                </c:pt>
                <c:pt idx="2">
                  <c:v>19000</c:v>
                </c:pt>
                <c:pt idx="3">
                  <c:v>32000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2-40B3-93C8-6A0CBF679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90639"/>
        <c:axId val="34965572"/>
      </c:barChart>
      <c:catAx>
        <c:axId val="6219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34965572"/>
        <c:crosses val="autoZero"/>
        <c:auto val="1"/>
        <c:lblAlgn val="ctr"/>
        <c:lblOffset val="100"/>
        <c:noMultiLvlLbl val="0"/>
      </c:catAx>
      <c:valAx>
        <c:axId val="34965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621906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-10080</xdr:colOff>
      <xdr:row>11</xdr:row>
      <xdr:rowOff>0</xdr:rowOff>
    </xdr:from>
    <xdr:to>
      <xdr:col>7</xdr:col>
      <xdr:colOff>0</xdr:colOff>
      <xdr:row>30</xdr:row>
      <xdr:rowOff>94680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6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6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6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6.5" customHeight="1" x14ac:dyDescent="0.35">
      <c r="A6" s="4" t="s">
        <v>1</v>
      </c>
      <c r="B6" s="4"/>
      <c r="C6" s="4"/>
      <c r="D6" s="4"/>
      <c r="E6" s="4"/>
      <c r="F6" s="4"/>
      <c r="G6" s="4"/>
      <c r="H6" s="4"/>
      <c r="I6" s="4"/>
      <c r="J6" s="4"/>
    </row>
    <row r="7" spans="1:10" ht="16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3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8.75" customHeight="1" x14ac:dyDescent="0.35">
      <c r="B9" s="3" t="s">
        <v>2</v>
      </c>
      <c r="C9" s="3"/>
      <c r="D9" s="3"/>
      <c r="E9" s="3" t="s">
        <v>3</v>
      </c>
      <c r="F9" s="3"/>
      <c r="G9" s="3"/>
      <c r="H9" s="3" t="s">
        <v>4</v>
      </c>
      <c r="I9" s="3"/>
      <c r="J9" s="3"/>
    </row>
    <row r="10" spans="1:10" ht="15" customHeight="1" x14ac:dyDescent="0.35">
      <c r="B10" s="2" t="s">
        <v>5</v>
      </c>
      <c r="C10" s="2"/>
      <c r="D10" s="2"/>
      <c r="E10" s="2" t="s">
        <v>6</v>
      </c>
      <c r="F10" s="2"/>
      <c r="G10" s="2"/>
      <c r="H10" s="2" t="s">
        <v>7</v>
      </c>
      <c r="I10" s="2"/>
      <c r="J10" s="2"/>
    </row>
    <row r="11" spans="1:10" ht="16.5" customHeight="1" x14ac:dyDescent="0.35"/>
    <row r="12" spans="1:10" ht="16.5" customHeight="1" x14ac:dyDescent="0.35"/>
    <row r="13" spans="1:10" ht="18.75" customHeight="1" x14ac:dyDescent="0.35">
      <c r="B13" s="3" t="s">
        <v>8</v>
      </c>
      <c r="C13" s="3"/>
      <c r="D13" s="3"/>
      <c r="E13" s="3" t="s">
        <v>9</v>
      </c>
      <c r="F13" s="3"/>
      <c r="G13" s="3"/>
      <c r="H13" s="3" t="s">
        <v>10</v>
      </c>
      <c r="I13" s="3"/>
      <c r="J13" s="3"/>
    </row>
    <row r="14" spans="1:10" ht="15" customHeight="1" x14ac:dyDescent="0.35">
      <c r="B14" s="2" t="s">
        <v>11</v>
      </c>
      <c r="C14" s="2"/>
      <c r="D14" s="2"/>
      <c r="E14" s="2" t="s">
        <v>12</v>
      </c>
      <c r="F14" s="2"/>
      <c r="G14" s="2"/>
      <c r="H14" s="2" t="s">
        <v>13</v>
      </c>
      <c r="I14" s="2"/>
      <c r="J14" s="2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rightToLeft="1" zoomScaleNormal="100" workbookViewId="0">
      <selection activeCell="D9" sqref="D9"/>
    </sheetView>
  </sheetViews>
  <sheetFormatPr defaultColWidth="8.6328125" defaultRowHeight="14.5" x14ac:dyDescent="0.35"/>
  <cols>
    <col min="1" max="1" width="16" style="20" customWidth="1"/>
    <col min="2" max="2" width="12" style="20" customWidth="1"/>
    <col min="3" max="3" width="10" style="20" customWidth="1"/>
    <col min="4" max="4" width="12" style="20" customWidth="1"/>
    <col min="5" max="10" width="16" style="20" customWidth="1"/>
    <col min="11" max="16384" width="8.6328125" style="20"/>
  </cols>
  <sheetData>
    <row r="1" spans="1:10" ht="27.75" customHeight="1" x14ac:dyDescent="0.35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1.75" customHeight="1" x14ac:dyDescent="0.35">
      <c r="A2" s="21" t="s">
        <v>15</v>
      </c>
      <c r="B2" s="21" t="s">
        <v>16</v>
      </c>
      <c r="C2" s="21" t="s">
        <v>17</v>
      </c>
      <c r="D2" s="21" t="s">
        <v>18</v>
      </c>
      <c r="E2" s="21" t="s">
        <v>19</v>
      </c>
      <c r="F2" s="21" t="s">
        <v>20</v>
      </c>
      <c r="G2" s="21" t="s">
        <v>21</v>
      </c>
      <c r="H2" s="21" t="s">
        <v>22</v>
      </c>
      <c r="I2" s="21" t="s">
        <v>23</v>
      </c>
      <c r="J2" s="21" t="s">
        <v>24</v>
      </c>
    </row>
    <row r="3" spans="1:10" ht="15.75" customHeight="1" x14ac:dyDescent="0.35">
      <c r="A3" s="22" t="s">
        <v>25</v>
      </c>
      <c r="B3" s="23">
        <v>45</v>
      </c>
      <c r="C3" s="23">
        <v>12</v>
      </c>
      <c r="D3" s="23">
        <v>5</v>
      </c>
      <c r="E3" s="23">
        <v>600</v>
      </c>
      <c r="F3" s="23">
        <v>850</v>
      </c>
      <c r="G3" s="34">
        <f t="shared" ref="G3:G8" si="0">B3*F3</f>
        <v>38250</v>
      </c>
      <c r="H3" s="23">
        <v>450</v>
      </c>
      <c r="I3" s="23">
        <v>800</v>
      </c>
      <c r="J3" s="34">
        <f t="shared" ref="J3:J8" si="1">(I3-H3)*B3</f>
        <v>15750</v>
      </c>
    </row>
    <row r="4" spans="1:10" ht="15.75" customHeight="1" x14ac:dyDescent="0.35">
      <c r="A4" s="22" t="s">
        <v>26</v>
      </c>
      <c r="B4" s="23">
        <v>30</v>
      </c>
      <c r="C4" s="23">
        <v>8</v>
      </c>
      <c r="D4" s="23">
        <v>3</v>
      </c>
      <c r="E4" s="23">
        <v>400</v>
      </c>
      <c r="F4" s="23">
        <v>600</v>
      </c>
      <c r="G4" s="34">
        <f t="shared" si="0"/>
        <v>18000</v>
      </c>
      <c r="H4" s="23">
        <v>350</v>
      </c>
      <c r="I4" s="23">
        <v>550</v>
      </c>
      <c r="J4" s="34">
        <f t="shared" si="1"/>
        <v>6000</v>
      </c>
    </row>
    <row r="5" spans="1:10" ht="15.75" customHeight="1" x14ac:dyDescent="0.35">
      <c r="A5" s="22" t="s">
        <v>27</v>
      </c>
      <c r="B5" s="23">
        <v>8</v>
      </c>
      <c r="C5" s="23">
        <v>2</v>
      </c>
      <c r="D5" s="23">
        <v>0</v>
      </c>
      <c r="E5" s="23">
        <v>8000</v>
      </c>
      <c r="F5" s="23">
        <v>12000</v>
      </c>
      <c r="G5" s="34">
        <f t="shared" si="0"/>
        <v>96000</v>
      </c>
      <c r="H5" s="23">
        <v>2500</v>
      </c>
      <c r="I5" s="23">
        <v>4000</v>
      </c>
      <c r="J5" s="34">
        <f t="shared" si="1"/>
        <v>12000</v>
      </c>
    </row>
    <row r="6" spans="1:10" ht="15.75" customHeight="1" x14ac:dyDescent="0.35">
      <c r="A6" s="22" t="s">
        <v>28</v>
      </c>
      <c r="B6" s="23">
        <v>12</v>
      </c>
      <c r="C6" s="23">
        <v>3</v>
      </c>
      <c r="D6" s="23">
        <v>1</v>
      </c>
      <c r="E6" s="23">
        <v>5000</v>
      </c>
      <c r="F6" s="23">
        <v>7500</v>
      </c>
      <c r="G6" s="34">
        <f t="shared" si="0"/>
        <v>90000</v>
      </c>
      <c r="H6" s="23">
        <v>3500</v>
      </c>
      <c r="I6" s="23">
        <v>6000</v>
      </c>
      <c r="J6" s="34">
        <f t="shared" si="1"/>
        <v>30000</v>
      </c>
    </row>
    <row r="7" spans="1:10" ht="15.75" customHeight="1" x14ac:dyDescent="0.35">
      <c r="A7" s="22" t="s">
        <v>29</v>
      </c>
      <c r="B7" s="23">
        <v>200</v>
      </c>
      <c r="C7" s="23">
        <v>0</v>
      </c>
      <c r="D7" s="23">
        <v>20</v>
      </c>
      <c r="E7" s="23">
        <v>25</v>
      </c>
      <c r="F7" s="23">
        <v>40</v>
      </c>
      <c r="G7" s="34">
        <f t="shared" si="0"/>
        <v>8000</v>
      </c>
      <c r="H7" s="23">
        <v>30</v>
      </c>
      <c r="I7" s="23">
        <v>85</v>
      </c>
      <c r="J7" s="34">
        <f t="shared" si="1"/>
        <v>11000</v>
      </c>
    </row>
    <row r="8" spans="1:10" ht="15.75" customHeight="1" x14ac:dyDescent="0.35">
      <c r="A8" s="22"/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34">
        <f t="shared" si="0"/>
        <v>0</v>
      </c>
      <c r="H8" s="23">
        <v>0</v>
      </c>
      <c r="I8" s="23">
        <v>0</v>
      </c>
      <c r="J8" s="34">
        <f t="shared" si="1"/>
        <v>0</v>
      </c>
    </row>
    <row r="9" spans="1:10" ht="19.5" customHeight="1" x14ac:dyDescent="0.35">
      <c r="A9" s="24" t="s">
        <v>30</v>
      </c>
      <c r="B9" s="32">
        <f>SUM(B3:B8)</f>
        <v>295</v>
      </c>
      <c r="C9" s="32">
        <f>SUM(C3:C8)</f>
        <v>25</v>
      </c>
      <c r="D9" s="32">
        <f>SUM(D3:D8)</f>
        <v>29</v>
      </c>
      <c r="E9" s="33"/>
      <c r="F9" s="33"/>
      <c r="G9" s="32">
        <f>SUM(G3:G8)</f>
        <v>250250</v>
      </c>
      <c r="H9" s="33"/>
      <c r="I9" s="33"/>
      <c r="J9" s="32">
        <f>SUM(J3:J8)</f>
        <v>74750</v>
      </c>
    </row>
    <row r="11" spans="1:10" ht="21.75" customHeight="1" x14ac:dyDescent="0.35">
      <c r="A11" s="25" t="s">
        <v>31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18" customHeight="1" x14ac:dyDescent="0.35">
      <c r="A12" s="26" t="s">
        <v>32</v>
      </c>
      <c r="B12" s="35">
        <f>B9</f>
        <v>295</v>
      </c>
    </row>
    <row r="13" spans="1:10" ht="18" customHeight="1" x14ac:dyDescent="0.35">
      <c r="A13" s="26" t="s">
        <v>33</v>
      </c>
      <c r="B13" s="35">
        <f>G9</f>
        <v>250250</v>
      </c>
    </row>
    <row r="14" spans="1:10" ht="18" customHeight="1" x14ac:dyDescent="0.35">
      <c r="A14" s="26" t="s">
        <v>34</v>
      </c>
      <c r="B14" s="35">
        <f>J9</f>
        <v>74750</v>
      </c>
    </row>
    <row r="15" spans="1:10" ht="18" customHeight="1" x14ac:dyDescent="0.35">
      <c r="A15" s="26" t="s">
        <v>35</v>
      </c>
      <c r="B15" s="36">
        <f>IF(B9=0,0,C9/B9)</f>
        <v>8.4745762711864403E-2</v>
      </c>
    </row>
    <row r="16" spans="1:10" ht="18" customHeight="1" x14ac:dyDescent="0.35">
      <c r="A16" s="26" t="s">
        <v>36</v>
      </c>
      <c r="B16" s="36">
        <f>IF(B9=0,0,D9/B9)</f>
        <v>9.8305084745762716E-2</v>
      </c>
    </row>
    <row r="18" spans="1:1" x14ac:dyDescent="0.35">
      <c r="A18" s="27" t="s">
        <v>37</v>
      </c>
    </row>
    <row r="19" spans="1:1" ht="12.75" customHeight="1" x14ac:dyDescent="0.35">
      <c r="A19" s="28" t="s">
        <v>38</v>
      </c>
    </row>
    <row r="20" spans="1:1" ht="12.75" customHeight="1" x14ac:dyDescent="0.35">
      <c r="A20" s="29" t="s">
        <v>39</v>
      </c>
    </row>
    <row r="21" spans="1:1" ht="12.75" customHeight="1" x14ac:dyDescent="0.35">
      <c r="A21" s="30" t="s">
        <v>40</v>
      </c>
    </row>
    <row r="22" spans="1:1" ht="12.75" customHeight="1" x14ac:dyDescent="0.35">
      <c r="A22" s="31" t="s">
        <v>41</v>
      </c>
    </row>
  </sheetData>
  <sheetProtection algorithmName="SHA-512" hashValue="PRnc/zYafLU5lwk99Lfo2MxgswqpIr+sWCZrywkfEjMlJQsOEvGDZABvFkeS6nz+pAlvLRXpCGtaWOBkShIOdQ==" saltValue="1/8ABrqs84ktMUnYxcBy5w==" spinCount="100000" sheet="1" objects="1" scenarios="1"/>
  <mergeCells count="2">
    <mergeCell ref="A1:J1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rightToLeft="1" topLeftCell="A2" zoomScaleNormal="100" workbookViewId="0">
      <selection activeCell="G8" sqref="G8"/>
    </sheetView>
  </sheetViews>
  <sheetFormatPr defaultColWidth="8.6328125" defaultRowHeight="14.5" x14ac:dyDescent="0.35"/>
  <cols>
    <col min="1" max="1" width="16" style="20" customWidth="1"/>
    <col min="2" max="6" width="14" style="20" customWidth="1"/>
    <col min="7" max="8" width="16" style="20" customWidth="1"/>
    <col min="9" max="9" width="14" style="20" customWidth="1"/>
    <col min="10" max="10" width="16" style="20" customWidth="1"/>
    <col min="11" max="16384" width="8.6328125" style="20"/>
  </cols>
  <sheetData>
    <row r="1" spans="1:10" ht="27.75" customHeight="1" x14ac:dyDescent="0.35">
      <c r="A1" s="19" t="s">
        <v>42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1.75" customHeight="1" x14ac:dyDescent="0.35">
      <c r="A2" s="21" t="s">
        <v>43</v>
      </c>
      <c r="B2" s="21" t="s">
        <v>44</v>
      </c>
      <c r="C2" s="21" t="s">
        <v>45</v>
      </c>
      <c r="D2" s="21" t="s">
        <v>46</v>
      </c>
      <c r="E2" s="21" t="s">
        <v>47</v>
      </c>
      <c r="F2" s="21" t="s">
        <v>48</v>
      </c>
      <c r="G2" s="21" t="s">
        <v>49</v>
      </c>
      <c r="H2" s="21" t="s">
        <v>50</v>
      </c>
      <c r="I2" s="21" t="s">
        <v>51</v>
      </c>
      <c r="J2" s="21" t="s">
        <v>24</v>
      </c>
    </row>
    <row r="3" spans="1:10" ht="15.75" customHeight="1" x14ac:dyDescent="0.35">
      <c r="A3" s="22" t="s">
        <v>52</v>
      </c>
      <c r="B3" s="37">
        <v>2</v>
      </c>
      <c r="C3" s="23">
        <v>0</v>
      </c>
      <c r="D3" s="23">
        <v>3000</v>
      </c>
      <c r="E3" s="23">
        <v>8000</v>
      </c>
      <c r="F3" s="23">
        <v>5000</v>
      </c>
      <c r="G3" s="34">
        <f>SUM(C3:F3)</f>
        <v>16000</v>
      </c>
      <c r="H3" s="37">
        <v>18</v>
      </c>
      <c r="I3" s="23">
        <v>4500</v>
      </c>
      <c r="J3" s="34">
        <f>H3*I3-G3</f>
        <v>65000</v>
      </c>
    </row>
    <row r="4" spans="1:10" ht="15.75" customHeight="1" x14ac:dyDescent="0.35">
      <c r="A4" s="22" t="s">
        <v>53</v>
      </c>
      <c r="B4" s="37">
        <v>5</v>
      </c>
      <c r="C4" s="23">
        <v>2000</v>
      </c>
      <c r="D4" s="23">
        <v>4000</v>
      </c>
      <c r="E4" s="23">
        <v>12000</v>
      </c>
      <c r="F4" s="23">
        <v>6000</v>
      </c>
      <c r="G4" s="34">
        <f>SUM(C4:F4)</f>
        <v>24000</v>
      </c>
      <c r="H4" s="37">
        <v>20</v>
      </c>
      <c r="I4" s="23">
        <v>1200</v>
      </c>
      <c r="J4" s="34">
        <f>H4*I4-G4</f>
        <v>0</v>
      </c>
    </row>
    <row r="5" spans="1:10" ht="15.75" customHeight="1" x14ac:dyDescent="0.35">
      <c r="A5" s="22" t="s">
        <v>54</v>
      </c>
      <c r="B5" s="37">
        <v>3</v>
      </c>
      <c r="C5" s="23">
        <v>1500</v>
      </c>
      <c r="D5" s="23">
        <v>2500</v>
      </c>
      <c r="E5" s="23">
        <v>9000</v>
      </c>
      <c r="F5" s="23">
        <v>4000</v>
      </c>
      <c r="G5" s="34">
        <f>SUM(C5:F5)</f>
        <v>17000</v>
      </c>
      <c r="H5" s="37">
        <v>45</v>
      </c>
      <c r="I5" s="23">
        <v>800</v>
      </c>
      <c r="J5" s="34">
        <f>H5*I5-G5</f>
        <v>19000</v>
      </c>
    </row>
    <row r="6" spans="1:10" ht="15.75" customHeight="1" x14ac:dyDescent="0.35">
      <c r="A6" s="22" t="s">
        <v>55</v>
      </c>
      <c r="B6" s="37">
        <v>1</v>
      </c>
      <c r="C6" s="23">
        <v>3000</v>
      </c>
      <c r="D6" s="23">
        <v>2000</v>
      </c>
      <c r="E6" s="23">
        <v>5000</v>
      </c>
      <c r="F6" s="23">
        <v>8000</v>
      </c>
      <c r="G6" s="34">
        <f>SUM(C6:F6)</f>
        <v>18000</v>
      </c>
      <c r="H6" s="37">
        <v>25</v>
      </c>
      <c r="I6" s="23">
        <v>2000</v>
      </c>
      <c r="J6" s="34">
        <f>H6*I6-G6</f>
        <v>32000</v>
      </c>
    </row>
    <row r="7" spans="1:10" ht="15.75" customHeight="1" x14ac:dyDescent="0.35">
      <c r="A7" s="22"/>
      <c r="B7" s="37">
        <v>0</v>
      </c>
      <c r="C7" s="23">
        <v>0</v>
      </c>
      <c r="D7" s="23">
        <v>0</v>
      </c>
      <c r="E7" s="23">
        <v>0</v>
      </c>
      <c r="F7" s="23">
        <v>0</v>
      </c>
      <c r="G7" s="34">
        <f>SUM(C7:F7)</f>
        <v>0</v>
      </c>
      <c r="H7" s="37">
        <v>0</v>
      </c>
      <c r="I7" s="23">
        <v>0</v>
      </c>
      <c r="J7" s="34">
        <f>H7*I7-G7</f>
        <v>0</v>
      </c>
    </row>
    <row r="8" spans="1:10" ht="19.5" customHeight="1" x14ac:dyDescent="0.35">
      <c r="A8" s="24" t="s">
        <v>30</v>
      </c>
      <c r="B8" s="38">
        <f>SUM(B3:B7)</f>
        <v>11</v>
      </c>
      <c r="G8" s="35">
        <f>SUM(G3:G7)</f>
        <v>75000</v>
      </c>
      <c r="J8" s="35">
        <f>SUM(J3:J7)</f>
        <v>116000</v>
      </c>
    </row>
    <row r="26" spans="1:1" x14ac:dyDescent="0.35">
      <c r="A26" s="27" t="s">
        <v>37</v>
      </c>
    </row>
    <row r="27" spans="1:1" ht="12.75" customHeight="1" x14ac:dyDescent="0.35">
      <c r="A27" s="28" t="s">
        <v>38</v>
      </c>
    </row>
    <row r="28" spans="1:1" ht="12.75" customHeight="1" x14ac:dyDescent="0.35">
      <c r="A28" s="29" t="s">
        <v>39</v>
      </c>
    </row>
    <row r="29" spans="1:1" ht="12.75" customHeight="1" x14ac:dyDescent="0.35">
      <c r="A29" s="30" t="s">
        <v>40</v>
      </c>
    </row>
    <row r="30" spans="1:1" ht="12.75" customHeight="1" x14ac:dyDescent="0.35">
      <c r="A30" s="31" t="s">
        <v>41</v>
      </c>
    </row>
  </sheetData>
  <sheetProtection algorithmName="SHA-512" hashValue="kHGDsYx57HeRukCtYRpo8OZt2CJ29rlaRkI+iKbJFKbA7qkJW1yamIXYHi9OYVU96i3P+ZKJtbjxBOl9eoU75A==" saltValue="/9E67sSHtXKw1vpKQAi4ww==" spinCount="100000" sheet="1" objects="1" scenarios="1"/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rightToLeft="1" zoomScaleNormal="100" workbookViewId="0">
      <selection activeCell="D10" sqref="D10"/>
    </sheetView>
  </sheetViews>
  <sheetFormatPr defaultColWidth="8.6328125" defaultRowHeight="14.5" x14ac:dyDescent="0.35"/>
  <cols>
    <col min="1" max="1" width="16" style="20" customWidth="1"/>
    <col min="2" max="2" width="14" style="20" customWidth="1"/>
    <col min="3" max="3" width="20" style="20" customWidth="1"/>
    <col min="4" max="6" width="14" style="20" customWidth="1"/>
    <col min="7" max="7" width="18" style="20" customWidth="1"/>
    <col min="8" max="16384" width="8.6328125" style="20"/>
  </cols>
  <sheetData>
    <row r="1" spans="1:7" ht="27.75" customHeight="1" x14ac:dyDescent="0.35">
      <c r="A1" s="19" t="s">
        <v>56</v>
      </c>
      <c r="B1" s="19"/>
      <c r="C1" s="19"/>
      <c r="D1" s="19"/>
      <c r="E1" s="19"/>
      <c r="F1" s="19"/>
      <c r="G1" s="19"/>
    </row>
    <row r="3" spans="1:7" ht="21.75" customHeight="1" x14ac:dyDescent="0.35">
      <c r="A3" s="39" t="s">
        <v>57</v>
      </c>
      <c r="B3" s="39"/>
      <c r="C3" s="39"/>
      <c r="D3" s="39"/>
      <c r="E3" s="39"/>
      <c r="F3" s="39"/>
      <c r="G3" s="39"/>
    </row>
    <row r="4" spans="1:7" ht="19.5" customHeight="1" x14ac:dyDescent="0.35">
      <c r="A4" s="21" t="s">
        <v>15</v>
      </c>
      <c r="B4" s="21" t="s">
        <v>58</v>
      </c>
      <c r="C4" s="21" t="s">
        <v>59</v>
      </c>
      <c r="D4" s="21" t="s">
        <v>60</v>
      </c>
      <c r="E4" s="21" t="s">
        <v>61</v>
      </c>
      <c r="F4" s="21" t="s">
        <v>62</v>
      </c>
      <c r="G4" s="21" t="s">
        <v>63</v>
      </c>
    </row>
    <row r="5" spans="1:7" ht="15.75" customHeight="1" x14ac:dyDescent="0.35">
      <c r="A5" s="40" t="s">
        <v>64</v>
      </c>
      <c r="B5" s="23">
        <v>45</v>
      </c>
      <c r="C5" s="41">
        <v>2</v>
      </c>
      <c r="D5" s="44">
        <f>B5*C5</f>
        <v>90</v>
      </c>
      <c r="E5" s="34">
        <f>D5*30</f>
        <v>2700</v>
      </c>
      <c r="F5" s="37">
        <v>1.2</v>
      </c>
      <c r="G5" s="34">
        <f>E5*F5</f>
        <v>3240</v>
      </c>
    </row>
    <row r="6" spans="1:7" ht="15.75" customHeight="1" x14ac:dyDescent="0.35">
      <c r="A6" s="42" t="s">
        <v>26</v>
      </c>
      <c r="B6" s="23">
        <v>30</v>
      </c>
      <c r="C6" s="41">
        <v>1.8</v>
      </c>
      <c r="D6" s="44">
        <f>B6*C6</f>
        <v>54</v>
      </c>
      <c r="E6" s="34">
        <f>D6*30</f>
        <v>1620</v>
      </c>
      <c r="F6" s="37">
        <v>1.2</v>
      </c>
      <c r="G6" s="34">
        <f>E6*F6</f>
        <v>1944</v>
      </c>
    </row>
    <row r="7" spans="1:7" ht="15.75" customHeight="1" x14ac:dyDescent="0.35">
      <c r="A7" s="40" t="s">
        <v>27</v>
      </c>
      <c r="B7" s="23">
        <v>8</v>
      </c>
      <c r="C7" s="41">
        <v>8</v>
      </c>
      <c r="D7" s="44">
        <f>B7*C7</f>
        <v>64</v>
      </c>
      <c r="E7" s="34">
        <f>D7*30</f>
        <v>1920</v>
      </c>
      <c r="F7" s="37">
        <v>1.5</v>
      </c>
      <c r="G7" s="34">
        <f>E7*F7</f>
        <v>2880</v>
      </c>
    </row>
    <row r="8" spans="1:7" ht="15.75" customHeight="1" x14ac:dyDescent="0.35">
      <c r="A8" s="42" t="s">
        <v>65</v>
      </c>
      <c r="B8" s="23">
        <v>12</v>
      </c>
      <c r="C8" s="41">
        <v>12</v>
      </c>
      <c r="D8" s="44">
        <f>B8*C8</f>
        <v>144</v>
      </c>
      <c r="E8" s="34">
        <f>D8*30</f>
        <v>4320</v>
      </c>
      <c r="F8" s="37">
        <v>1.8</v>
      </c>
      <c r="G8" s="34">
        <f>E8*F8</f>
        <v>7776</v>
      </c>
    </row>
    <row r="9" spans="1:7" ht="15.75" customHeight="1" x14ac:dyDescent="0.35">
      <c r="A9" s="40" t="s">
        <v>66</v>
      </c>
      <c r="B9" s="23">
        <v>200</v>
      </c>
      <c r="C9" s="41">
        <v>0.12</v>
      </c>
      <c r="D9" s="44">
        <f>B9*C9</f>
        <v>24</v>
      </c>
      <c r="E9" s="34">
        <f>D9*30</f>
        <v>720</v>
      </c>
      <c r="F9" s="37">
        <v>2</v>
      </c>
      <c r="G9" s="34">
        <f>E9*F9</f>
        <v>1440</v>
      </c>
    </row>
    <row r="10" spans="1:7" ht="19.5" customHeight="1" x14ac:dyDescent="0.35">
      <c r="A10" s="43" t="s">
        <v>30</v>
      </c>
      <c r="B10" s="43"/>
      <c r="C10" s="43"/>
      <c r="D10" s="35">
        <f>SUM(D5:D9)</f>
        <v>376</v>
      </c>
      <c r="E10" s="35">
        <f>SUM(E5:E9)</f>
        <v>11280</v>
      </c>
      <c r="G10" s="35">
        <f>SUM(G5:G9)</f>
        <v>17280</v>
      </c>
    </row>
    <row r="12" spans="1:7" ht="21.75" customHeight="1" x14ac:dyDescent="0.35">
      <c r="A12" s="39" t="s">
        <v>67</v>
      </c>
      <c r="B12" s="39"/>
      <c r="C12" s="39"/>
      <c r="D12" s="39"/>
      <c r="E12" s="39"/>
      <c r="F12" s="39"/>
      <c r="G12" s="39"/>
    </row>
    <row r="13" spans="1:7" ht="19.5" customHeight="1" x14ac:dyDescent="0.35">
      <c r="A13" s="21" t="s">
        <v>43</v>
      </c>
      <c r="B13" s="21" t="s">
        <v>44</v>
      </c>
      <c r="C13" s="21" t="s">
        <v>68</v>
      </c>
      <c r="D13" s="21" t="s">
        <v>69</v>
      </c>
      <c r="E13" s="21" t="s">
        <v>70</v>
      </c>
      <c r="F13" s="21" t="s">
        <v>71</v>
      </c>
      <c r="G13" s="21" t="s">
        <v>63</v>
      </c>
    </row>
    <row r="14" spans="1:7" ht="15.75" customHeight="1" x14ac:dyDescent="0.35">
      <c r="A14" s="42" t="s">
        <v>72</v>
      </c>
      <c r="B14" s="37">
        <v>2</v>
      </c>
      <c r="C14" s="23">
        <v>60</v>
      </c>
      <c r="D14" s="34">
        <f>B14*C14</f>
        <v>120</v>
      </c>
      <c r="E14" s="34">
        <f>D14*30</f>
        <v>3600</v>
      </c>
      <c r="F14" s="37">
        <v>0.5</v>
      </c>
      <c r="G14" s="34">
        <f>E14*F14</f>
        <v>1800</v>
      </c>
    </row>
    <row r="15" spans="1:7" ht="15.75" customHeight="1" x14ac:dyDescent="0.35">
      <c r="A15" s="42" t="s">
        <v>53</v>
      </c>
      <c r="B15" s="37">
        <v>5</v>
      </c>
      <c r="C15" s="23">
        <v>45</v>
      </c>
      <c r="D15" s="34">
        <f>B15*C15</f>
        <v>225</v>
      </c>
      <c r="E15" s="34">
        <f>D15*30</f>
        <v>6750</v>
      </c>
      <c r="F15" s="37">
        <v>0.5</v>
      </c>
      <c r="G15" s="34">
        <f>E15*F15</f>
        <v>3375</v>
      </c>
    </row>
    <row r="16" spans="1:7" ht="15.75" customHeight="1" x14ac:dyDescent="0.35">
      <c r="A16" s="42" t="s">
        <v>73</v>
      </c>
      <c r="B16" s="37">
        <v>3</v>
      </c>
      <c r="C16" s="23">
        <v>80</v>
      </c>
      <c r="D16" s="34">
        <f>B16*C16</f>
        <v>240</v>
      </c>
      <c r="E16" s="34">
        <f>D16*30</f>
        <v>7200</v>
      </c>
      <c r="F16" s="37">
        <v>0.5</v>
      </c>
      <c r="G16" s="34">
        <f>E16*F16</f>
        <v>3600</v>
      </c>
    </row>
    <row r="17" spans="1:7" ht="15.75" customHeight="1" x14ac:dyDescent="0.35">
      <c r="A17" s="42" t="s">
        <v>55</v>
      </c>
      <c r="B17" s="37">
        <v>1</v>
      </c>
      <c r="C17" s="23">
        <v>50</v>
      </c>
      <c r="D17" s="34">
        <f>B17*C17</f>
        <v>50</v>
      </c>
      <c r="E17" s="34">
        <f>D17*30</f>
        <v>1500</v>
      </c>
      <c r="F17" s="37">
        <v>0.5</v>
      </c>
      <c r="G17" s="34">
        <f>E17*F17</f>
        <v>750</v>
      </c>
    </row>
    <row r="18" spans="1:7" ht="19.5" customHeight="1" x14ac:dyDescent="0.35">
      <c r="A18" s="43" t="s">
        <v>30</v>
      </c>
      <c r="B18" s="43"/>
      <c r="C18" s="43"/>
      <c r="D18" s="35">
        <f>SUM(D14:D17)</f>
        <v>635</v>
      </c>
      <c r="E18" s="35">
        <f>SUM(E14:E17)</f>
        <v>19050</v>
      </c>
      <c r="G18" s="35">
        <f>SUM(G14:G17)</f>
        <v>9525</v>
      </c>
    </row>
    <row r="20" spans="1:7" x14ac:dyDescent="0.35">
      <c r="A20" s="27" t="s">
        <v>37</v>
      </c>
    </row>
    <row r="21" spans="1:7" ht="12.75" customHeight="1" x14ac:dyDescent="0.35">
      <c r="A21" s="28" t="s">
        <v>38</v>
      </c>
    </row>
    <row r="22" spans="1:7" ht="12.75" customHeight="1" x14ac:dyDescent="0.35">
      <c r="A22" s="29" t="s">
        <v>39</v>
      </c>
    </row>
    <row r="23" spans="1:7" ht="12.75" customHeight="1" x14ac:dyDescent="0.35">
      <c r="A23" s="30" t="s">
        <v>40</v>
      </c>
    </row>
    <row r="24" spans="1:7" ht="12.75" customHeight="1" x14ac:dyDescent="0.35">
      <c r="A24" s="31" t="s">
        <v>41</v>
      </c>
    </row>
  </sheetData>
  <sheetProtection algorithmName="SHA-512" hashValue="xFN4kxcLKQEkKJQWvSrfxpzC5puEVQW1v/SjC3ziMXjfWyo3JPY2qAGFWx2mstH/MbK9WQH7VM8cLpDB74c63g==" saltValue="sD5CaARfUJS28l0/fiMOpQ==" spinCount="100000" sheet="1" objects="1" scenarios="1"/>
  <mergeCells count="5">
    <mergeCell ref="A1:G1"/>
    <mergeCell ref="A3:G3"/>
    <mergeCell ref="A10:C10"/>
    <mergeCell ref="A12:G12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rightToLeft="1" tabSelected="1" topLeftCell="A13" zoomScaleNormal="100" workbookViewId="0">
      <selection activeCell="B25" sqref="B25"/>
    </sheetView>
  </sheetViews>
  <sheetFormatPr defaultColWidth="8.6328125" defaultRowHeight="14.5" x14ac:dyDescent="0.35"/>
  <cols>
    <col min="1" max="1" width="32" style="20" customWidth="1"/>
    <col min="2" max="2" width="18" style="20" customWidth="1"/>
    <col min="3" max="5" width="10" style="20" customWidth="1"/>
    <col min="6" max="16384" width="8.6328125" style="20"/>
  </cols>
  <sheetData>
    <row r="1" spans="1:5" ht="27.75" customHeight="1" x14ac:dyDescent="0.35">
      <c r="A1" s="19" t="s">
        <v>74</v>
      </c>
      <c r="B1" s="19"/>
      <c r="C1" s="19"/>
      <c r="D1" s="19"/>
      <c r="E1" s="19"/>
    </row>
    <row r="3" spans="1:5" ht="21.75" customHeight="1" x14ac:dyDescent="0.35">
      <c r="A3" s="39" t="s">
        <v>75</v>
      </c>
      <c r="B3" s="39"/>
      <c r="C3" s="39"/>
      <c r="D3" s="39"/>
      <c r="E3" s="39"/>
    </row>
    <row r="4" spans="1:5" ht="16.5" customHeight="1" x14ac:dyDescent="0.35">
      <c r="A4" s="42" t="s">
        <v>76</v>
      </c>
      <c r="B4" s="23">
        <v>80000</v>
      </c>
    </row>
    <row r="5" spans="1:5" ht="16.5" customHeight="1" x14ac:dyDescent="0.35">
      <c r="A5" s="42" t="s">
        <v>77</v>
      </c>
      <c r="B5" s="23">
        <v>45000</v>
      </c>
    </row>
    <row r="6" spans="1:5" ht="16.5" customHeight="1" x14ac:dyDescent="0.35">
      <c r="A6" s="42" t="s">
        <v>78</v>
      </c>
      <c r="B6" s="23">
        <v>120000</v>
      </c>
    </row>
    <row r="7" spans="1:5" ht="16.5" customHeight="1" x14ac:dyDescent="0.35">
      <c r="A7" s="42" t="s">
        <v>79</v>
      </c>
      <c r="B7" s="23">
        <v>15000</v>
      </c>
    </row>
    <row r="8" spans="1:5" ht="16.5" customHeight="1" x14ac:dyDescent="0.35">
      <c r="A8" s="42" t="s">
        <v>80</v>
      </c>
      <c r="B8" s="23">
        <v>20000</v>
      </c>
    </row>
    <row r="9" spans="1:5" ht="16.5" customHeight="1" x14ac:dyDescent="0.35">
      <c r="A9" s="42" t="s">
        <v>81</v>
      </c>
      <c r="B9" s="23">
        <v>5000</v>
      </c>
    </row>
    <row r="10" spans="1:5" ht="19.5" customHeight="1" x14ac:dyDescent="0.35">
      <c r="A10" s="24" t="s">
        <v>82</v>
      </c>
      <c r="B10" s="32">
        <f>SUM(B4:B9)</f>
        <v>285000</v>
      </c>
    </row>
    <row r="12" spans="1:5" ht="21.75" customHeight="1" x14ac:dyDescent="0.35">
      <c r="A12" s="39" t="s">
        <v>83</v>
      </c>
      <c r="B12" s="39"/>
      <c r="C12" s="39"/>
      <c r="D12" s="39"/>
      <c r="E12" s="39"/>
    </row>
    <row r="13" spans="1:5" ht="16.5" customHeight="1" x14ac:dyDescent="0.35">
      <c r="A13" s="42" t="s">
        <v>84</v>
      </c>
      <c r="B13" s="23">
        <v>60000</v>
      </c>
    </row>
    <row r="14" spans="1:5" ht="16.5" customHeight="1" x14ac:dyDescent="0.35">
      <c r="A14" s="42" t="s">
        <v>85</v>
      </c>
      <c r="B14" s="23">
        <v>25000</v>
      </c>
    </row>
    <row r="15" spans="1:5" ht="16.5" customHeight="1" x14ac:dyDescent="0.35">
      <c r="A15" s="42" t="s">
        <v>86</v>
      </c>
      <c r="B15" s="23">
        <v>48000</v>
      </c>
    </row>
    <row r="16" spans="1:5" ht="16.5" customHeight="1" x14ac:dyDescent="0.35">
      <c r="A16" s="42" t="s">
        <v>87</v>
      </c>
      <c r="B16" s="23">
        <v>12000</v>
      </c>
    </row>
    <row r="17" spans="1:5" ht="16.5" customHeight="1" x14ac:dyDescent="0.35">
      <c r="A17" s="42" t="s">
        <v>88</v>
      </c>
      <c r="B17" s="23">
        <v>18000</v>
      </c>
    </row>
    <row r="18" spans="1:5" ht="16.5" customHeight="1" x14ac:dyDescent="0.35">
      <c r="A18" s="42" t="s">
        <v>89</v>
      </c>
      <c r="B18" s="23">
        <v>10000</v>
      </c>
    </row>
    <row r="19" spans="1:5" ht="16.5" customHeight="1" x14ac:dyDescent="0.35">
      <c r="A19" s="42" t="s">
        <v>90</v>
      </c>
      <c r="B19" s="23">
        <v>15000</v>
      </c>
    </row>
    <row r="20" spans="1:5" ht="16.5" customHeight="1" x14ac:dyDescent="0.35">
      <c r="A20" s="42" t="s">
        <v>91</v>
      </c>
      <c r="B20" s="23">
        <v>8000</v>
      </c>
    </row>
    <row r="21" spans="1:5" ht="19.5" customHeight="1" x14ac:dyDescent="0.35">
      <c r="A21" s="24" t="s">
        <v>92</v>
      </c>
      <c r="B21" s="45">
        <f>SUM(B13:B20)</f>
        <v>196000</v>
      </c>
    </row>
    <row r="23" spans="1:5" ht="21.75" customHeight="1" x14ac:dyDescent="0.35">
      <c r="A23" s="25" t="s">
        <v>93</v>
      </c>
      <c r="B23" s="25"/>
      <c r="C23" s="25"/>
      <c r="D23" s="25"/>
      <c r="E23" s="25"/>
    </row>
    <row r="24" spans="1:5" ht="18" customHeight="1" x14ac:dyDescent="0.35">
      <c r="A24" s="26" t="s">
        <v>94</v>
      </c>
      <c r="B24" s="35">
        <f>B10-B21</f>
        <v>89000</v>
      </c>
    </row>
    <row r="25" spans="1:5" ht="18" customHeight="1" x14ac:dyDescent="0.35">
      <c r="A25" s="26" t="s">
        <v>95</v>
      </c>
      <c r="B25" s="36">
        <f>IF(B10=0,0,(B10-B21)/B10)</f>
        <v>0.31228070175438599</v>
      </c>
    </row>
    <row r="26" spans="1:5" ht="18" customHeight="1" x14ac:dyDescent="0.35">
      <c r="A26" s="26" t="s">
        <v>96</v>
      </c>
      <c r="B26" s="36">
        <f>IF(B10=0,0,B21/B10)</f>
        <v>0.68771929824561406</v>
      </c>
    </row>
    <row r="28" spans="1:5" x14ac:dyDescent="0.35">
      <c r="A28" s="27" t="s">
        <v>37</v>
      </c>
    </row>
    <row r="29" spans="1:5" ht="12.75" customHeight="1" x14ac:dyDescent="0.35">
      <c r="A29" s="28" t="s">
        <v>38</v>
      </c>
    </row>
    <row r="30" spans="1:5" ht="12.75" customHeight="1" x14ac:dyDescent="0.35">
      <c r="A30" s="29" t="s">
        <v>39</v>
      </c>
    </row>
    <row r="31" spans="1:5" ht="12.75" customHeight="1" x14ac:dyDescent="0.35">
      <c r="A31" s="30" t="s">
        <v>40</v>
      </c>
    </row>
    <row r="32" spans="1:5" ht="12.75" customHeight="1" x14ac:dyDescent="0.35">
      <c r="A32" s="31" t="s">
        <v>41</v>
      </c>
    </row>
  </sheetData>
  <sheetProtection algorithmName="SHA-512" hashValue="uLaY+5LT4jly0FfXgdHildWPrQKhZyMA6NkzQJ+dJBq3VVIFuHKM6afCxUnV9t8zAfJTkppYamsB6bArV1IS+w==" saltValue="4NRIuffA1QjeDqKMEtEhcQ==" spinCount="100000" sheet="1" objects="1" scenarios="1"/>
  <mergeCells count="4">
    <mergeCell ref="A1:E1"/>
    <mergeCell ref="A3:E3"/>
    <mergeCell ref="A12:E1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rightToLeft="1" zoomScaleNormal="100" workbookViewId="0">
      <selection sqref="A1:N1"/>
    </sheetView>
  </sheetViews>
  <sheetFormatPr defaultColWidth="8.6328125" defaultRowHeight="14.5" x14ac:dyDescent="0.35"/>
  <cols>
    <col min="1" max="1" width="20" customWidth="1"/>
    <col min="2" max="13" width="6" customWidth="1"/>
    <col min="14" max="14" width="16" customWidth="1"/>
  </cols>
  <sheetData>
    <row r="1" spans="1:14" ht="27.75" customHeight="1" x14ac:dyDescent="0.3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5" customHeight="1" x14ac:dyDescent="0.35">
      <c r="A2" s="7" t="s">
        <v>98</v>
      </c>
      <c r="B2" s="16" t="s">
        <v>99</v>
      </c>
      <c r="C2" s="16" t="s">
        <v>100</v>
      </c>
      <c r="D2" s="16" t="s">
        <v>101</v>
      </c>
      <c r="E2" s="16" t="s">
        <v>102</v>
      </c>
      <c r="F2" s="16" t="s">
        <v>103</v>
      </c>
      <c r="G2" s="16" t="s">
        <v>104</v>
      </c>
      <c r="H2" s="16" t="s">
        <v>105</v>
      </c>
      <c r="I2" s="16" t="s">
        <v>106</v>
      </c>
      <c r="J2" s="16" t="s">
        <v>107</v>
      </c>
      <c r="K2" s="16" t="s">
        <v>108</v>
      </c>
      <c r="L2" s="16" t="s">
        <v>109</v>
      </c>
      <c r="M2" s="16" t="s">
        <v>110</v>
      </c>
      <c r="N2" s="7" t="s">
        <v>111</v>
      </c>
    </row>
    <row r="3" spans="1:14" ht="15.75" customHeight="1" x14ac:dyDescent="0.35">
      <c r="A3" s="14" t="s">
        <v>112</v>
      </c>
      <c r="B3" s="17" t="s">
        <v>113</v>
      </c>
      <c r="C3" s="18"/>
      <c r="D3" s="18"/>
      <c r="E3" s="18"/>
      <c r="F3" s="18"/>
      <c r="G3" s="18"/>
      <c r="H3" s="18"/>
      <c r="I3" s="18"/>
      <c r="J3" s="18"/>
      <c r="K3" s="18"/>
      <c r="L3" s="17" t="s">
        <v>113</v>
      </c>
      <c r="M3" s="17" t="s">
        <v>113</v>
      </c>
      <c r="N3" s="8"/>
    </row>
    <row r="4" spans="1:14" ht="15.75" customHeight="1" x14ac:dyDescent="0.35">
      <c r="A4" s="15" t="s">
        <v>114</v>
      </c>
      <c r="B4" s="18"/>
      <c r="C4" s="18"/>
      <c r="D4" s="18"/>
      <c r="E4" s="17" t="s">
        <v>113</v>
      </c>
      <c r="F4" s="17" t="s">
        <v>113</v>
      </c>
      <c r="G4" s="18"/>
      <c r="H4" s="18"/>
      <c r="I4" s="18"/>
      <c r="J4" s="18"/>
      <c r="K4" s="18"/>
      <c r="L4" s="18"/>
      <c r="M4" s="18"/>
      <c r="N4" s="8"/>
    </row>
    <row r="5" spans="1:14" ht="15.75" customHeight="1" x14ac:dyDescent="0.35">
      <c r="A5" s="14" t="s">
        <v>115</v>
      </c>
      <c r="B5" s="18"/>
      <c r="C5" s="18"/>
      <c r="D5" s="18"/>
      <c r="E5" s="18"/>
      <c r="F5" s="18"/>
      <c r="G5" s="18"/>
      <c r="H5" s="18"/>
      <c r="I5" s="18"/>
      <c r="J5" s="18"/>
      <c r="K5" s="17" t="s">
        <v>113</v>
      </c>
      <c r="L5" s="17" t="s">
        <v>113</v>
      </c>
      <c r="M5" s="18"/>
      <c r="N5" s="8"/>
    </row>
    <row r="6" spans="1:14" ht="15.75" customHeight="1" x14ac:dyDescent="0.35">
      <c r="A6" s="15" t="s">
        <v>116</v>
      </c>
      <c r="B6" s="17" t="s">
        <v>113</v>
      </c>
      <c r="C6" s="17" t="s">
        <v>113</v>
      </c>
      <c r="D6" s="17" t="s">
        <v>113</v>
      </c>
      <c r="E6" s="17" t="s">
        <v>113</v>
      </c>
      <c r="F6" s="17" t="s">
        <v>113</v>
      </c>
      <c r="G6" s="17" t="s">
        <v>113</v>
      </c>
      <c r="H6" s="17" t="s">
        <v>113</v>
      </c>
      <c r="I6" s="17" t="s">
        <v>113</v>
      </c>
      <c r="J6" s="17" t="s">
        <v>113</v>
      </c>
      <c r="K6" s="17" t="s">
        <v>113</v>
      </c>
      <c r="L6" s="17" t="s">
        <v>113</v>
      </c>
      <c r="M6" s="17" t="s">
        <v>113</v>
      </c>
      <c r="N6" s="8"/>
    </row>
    <row r="7" spans="1:14" ht="15.75" customHeight="1" x14ac:dyDescent="0.35">
      <c r="A7" s="14" t="s">
        <v>117</v>
      </c>
      <c r="B7" s="18"/>
      <c r="C7" s="17" t="s">
        <v>113</v>
      </c>
      <c r="D7" s="17" t="s">
        <v>113</v>
      </c>
      <c r="E7" s="18"/>
      <c r="F7" s="18"/>
      <c r="G7" s="18"/>
      <c r="H7" s="18"/>
      <c r="I7" s="18"/>
      <c r="J7" s="18"/>
      <c r="K7" s="18"/>
      <c r="L7" s="18"/>
      <c r="M7" s="18"/>
      <c r="N7" s="8"/>
    </row>
    <row r="8" spans="1:14" ht="15.75" customHeight="1" x14ac:dyDescent="0.35">
      <c r="A8" s="15" t="s">
        <v>118</v>
      </c>
      <c r="B8" s="18"/>
      <c r="C8" s="18"/>
      <c r="D8" s="18"/>
      <c r="E8" s="18"/>
      <c r="F8" s="18"/>
      <c r="G8" s="18"/>
      <c r="H8" s="17" t="s">
        <v>113</v>
      </c>
      <c r="I8" s="17" t="s">
        <v>113</v>
      </c>
      <c r="J8" s="17" t="s">
        <v>113</v>
      </c>
      <c r="K8" s="18"/>
      <c r="L8" s="18"/>
      <c r="M8" s="18"/>
      <c r="N8" s="8"/>
    </row>
    <row r="9" spans="1:14" ht="15.75" customHeight="1" x14ac:dyDescent="0.35">
      <c r="A9" s="14" t="s">
        <v>119</v>
      </c>
      <c r="B9" s="17" t="s">
        <v>113</v>
      </c>
      <c r="C9" s="17" t="s">
        <v>113</v>
      </c>
      <c r="D9" s="18"/>
      <c r="E9" s="18"/>
      <c r="F9" s="18"/>
      <c r="G9" s="18"/>
      <c r="H9" s="18"/>
      <c r="I9" s="18"/>
      <c r="J9" s="17" t="s">
        <v>113</v>
      </c>
      <c r="K9" s="17" t="s">
        <v>113</v>
      </c>
      <c r="L9" s="18"/>
      <c r="M9" s="18"/>
      <c r="N9" s="8"/>
    </row>
    <row r="10" spans="1:14" ht="15.75" customHeight="1" x14ac:dyDescent="0.35">
      <c r="A10" s="15" t="s">
        <v>120</v>
      </c>
      <c r="B10" s="18"/>
      <c r="C10" s="18"/>
      <c r="D10" s="17" t="s">
        <v>113</v>
      </c>
      <c r="E10" s="17" t="s">
        <v>113</v>
      </c>
      <c r="F10" s="18"/>
      <c r="G10" s="18"/>
      <c r="H10" s="18"/>
      <c r="I10" s="18"/>
      <c r="J10" s="18"/>
      <c r="K10" s="18"/>
      <c r="L10" s="18"/>
      <c r="M10" s="18"/>
      <c r="N10" s="8"/>
    </row>
    <row r="11" spans="1:14" ht="15.75" customHeight="1" x14ac:dyDescent="0.35">
      <c r="A11" s="14" t="s">
        <v>121</v>
      </c>
      <c r="B11" s="18"/>
      <c r="C11" s="18"/>
      <c r="D11" s="17" t="s">
        <v>113</v>
      </c>
      <c r="E11" s="18"/>
      <c r="F11" s="18"/>
      <c r="G11" s="18"/>
      <c r="H11" s="18"/>
      <c r="I11" s="18"/>
      <c r="J11" s="17" t="s">
        <v>113</v>
      </c>
      <c r="K11" s="18"/>
      <c r="L11" s="18"/>
      <c r="M11" s="18"/>
      <c r="N11" s="8"/>
    </row>
    <row r="12" spans="1:14" ht="15.75" customHeight="1" x14ac:dyDescent="0.35">
      <c r="A12" s="15" t="s">
        <v>122</v>
      </c>
      <c r="B12" s="18"/>
      <c r="C12" s="18"/>
      <c r="D12" s="18"/>
      <c r="E12" s="18"/>
      <c r="F12" s="17" t="s">
        <v>113</v>
      </c>
      <c r="G12" s="17" t="s">
        <v>113</v>
      </c>
      <c r="H12" s="18"/>
      <c r="I12" s="18"/>
      <c r="J12" s="18"/>
      <c r="K12" s="18"/>
      <c r="L12" s="18"/>
      <c r="M12" s="18"/>
      <c r="N12" s="8"/>
    </row>
    <row r="14" spans="1:14" x14ac:dyDescent="0.35">
      <c r="A14" s="9" t="s">
        <v>37</v>
      </c>
    </row>
    <row r="15" spans="1:14" ht="12.75" customHeight="1" x14ac:dyDescent="0.35">
      <c r="A15" s="10" t="s">
        <v>38</v>
      </c>
    </row>
    <row r="16" spans="1:14" ht="12.75" customHeight="1" x14ac:dyDescent="0.35">
      <c r="A16" s="11" t="s">
        <v>39</v>
      </c>
    </row>
    <row r="17" spans="1:1" ht="12.75" customHeight="1" x14ac:dyDescent="0.35">
      <c r="A17" s="12" t="s">
        <v>40</v>
      </c>
    </row>
    <row r="18" spans="1:1" ht="12.75" customHeight="1" x14ac:dyDescent="0.35">
      <c r="A18" s="13" t="s">
        <v>41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قطيع الماشية</vt:lpstr>
      <vt:lpstr>المحاصيل الزراعية</vt:lpstr>
      <vt:lpstr>الأعلاف والري</vt:lpstr>
      <vt:lpstr>أرباح المزرعة</vt:lpstr>
      <vt:lpstr>التقويم الزراعي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1</cp:revision>
  <dcterms:created xsi:type="dcterms:W3CDTF">2026-06-12T08:01:11Z</dcterms:created>
  <dcterms:modified xsi:type="dcterms:W3CDTF">2026-06-13T17:34:01Z</dcterms:modified>
  <dc:language>en-US</dc:language>
</cp:coreProperties>
</file>