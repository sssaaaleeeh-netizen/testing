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4B7A9538-3C04-48EE-9FB9-08AD1BFA7894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الغلاف" sheetId="1" r:id="rId1"/>
    <sheet name="تحليل الاستهلاك الحالي" sheetId="2" r:id="rId2"/>
    <sheet name="تصميم النظام الشمسي" sheetId="3" r:id="rId3"/>
    <sheet name="حساب العائد والاسترداد" sheetId="4" r:id="rId4"/>
    <sheet name="محاكاة 25 سنة" sheetId="5" r:id="rId5"/>
    <sheet name="تدقيق الأجهزة الكهربائية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6" l="1"/>
  <c r="F14" i="6" s="1"/>
  <c r="F13" i="6"/>
  <c r="E13" i="6"/>
  <c r="E12" i="6"/>
  <c r="F12" i="6" s="1"/>
  <c r="E11" i="6"/>
  <c r="F11" i="6" s="1"/>
  <c r="F10" i="6"/>
  <c r="E10" i="6"/>
  <c r="F9" i="6"/>
  <c r="E9" i="6"/>
  <c r="E8" i="6"/>
  <c r="F8" i="6" s="1"/>
  <c r="E7" i="6"/>
  <c r="F7" i="6" s="1"/>
  <c r="F6" i="6"/>
  <c r="E6" i="6"/>
  <c r="F5" i="6"/>
  <c r="F15" i="6" s="1"/>
  <c r="E5" i="6"/>
  <c r="G12" i="6" s="1"/>
  <c r="E31" i="5"/>
  <c r="B31" i="5"/>
  <c r="F31" i="5" s="1"/>
  <c r="F30" i="5"/>
  <c r="E30" i="5"/>
  <c r="B30" i="5"/>
  <c r="E29" i="5"/>
  <c r="B29" i="5"/>
  <c r="F29" i="5" s="1"/>
  <c r="E28" i="5"/>
  <c r="B28" i="5"/>
  <c r="F28" i="5" s="1"/>
  <c r="F27" i="5"/>
  <c r="E27" i="5"/>
  <c r="B27" i="5"/>
  <c r="F26" i="5"/>
  <c r="E26" i="5"/>
  <c r="B26" i="5"/>
  <c r="E25" i="5"/>
  <c r="B25" i="5"/>
  <c r="F25" i="5" s="1"/>
  <c r="E24" i="5"/>
  <c r="B24" i="5"/>
  <c r="F24" i="5" s="1"/>
  <c r="F23" i="5"/>
  <c r="E23" i="5"/>
  <c r="B23" i="5"/>
  <c r="F22" i="5"/>
  <c r="E22" i="5"/>
  <c r="B22" i="5"/>
  <c r="E21" i="5"/>
  <c r="B21" i="5"/>
  <c r="F21" i="5" s="1"/>
  <c r="E20" i="5"/>
  <c r="B20" i="5"/>
  <c r="F20" i="5" s="1"/>
  <c r="F19" i="5"/>
  <c r="E19" i="5"/>
  <c r="B19" i="5"/>
  <c r="F18" i="5"/>
  <c r="E18" i="5"/>
  <c r="B18" i="5"/>
  <c r="E17" i="5"/>
  <c r="B17" i="5"/>
  <c r="F17" i="5" s="1"/>
  <c r="E16" i="5"/>
  <c r="B16" i="5"/>
  <c r="F16" i="5" s="1"/>
  <c r="F15" i="5"/>
  <c r="E15" i="5"/>
  <c r="B15" i="5"/>
  <c r="F14" i="5"/>
  <c r="E14" i="5"/>
  <c r="B14" i="5"/>
  <c r="E13" i="5"/>
  <c r="B13" i="5"/>
  <c r="F13" i="5" s="1"/>
  <c r="E12" i="5"/>
  <c r="C12" i="5"/>
  <c r="D12" i="5" s="1"/>
  <c r="G12" i="5" s="1"/>
  <c r="B12" i="5"/>
  <c r="F12" i="5" s="1"/>
  <c r="F11" i="5"/>
  <c r="E11" i="5"/>
  <c r="B11" i="5"/>
  <c r="F10" i="5"/>
  <c r="E10" i="5"/>
  <c r="B10" i="5"/>
  <c r="E9" i="5"/>
  <c r="B9" i="5"/>
  <c r="C29" i="5" s="1"/>
  <c r="D29" i="5" s="1"/>
  <c r="G29" i="5" s="1"/>
  <c r="E8" i="5"/>
  <c r="C8" i="5"/>
  <c r="D8" i="5" s="1"/>
  <c r="G8" i="5" s="1"/>
  <c r="B8" i="5"/>
  <c r="F8" i="5" s="1"/>
  <c r="F7" i="5"/>
  <c r="E7" i="5"/>
  <c r="C7" i="5"/>
  <c r="D7" i="5" s="1"/>
  <c r="G7" i="5" s="1"/>
  <c r="B7" i="5"/>
  <c r="C30" i="5" s="1"/>
  <c r="D30" i="5" s="1"/>
  <c r="G30" i="5" s="1"/>
  <c r="A24" i="4"/>
  <c r="B22" i="4"/>
  <c r="B21" i="4"/>
  <c r="B14" i="4"/>
  <c r="B20" i="4" s="1"/>
  <c r="B9" i="4"/>
  <c r="B16" i="3"/>
  <c r="B15" i="3"/>
  <c r="B13" i="3"/>
  <c r="B14" i="3" s="1"/>
  <c r="B12" i="3"/>
  <c r="B11" i="3"/>
  <c r="B25" i="2"/>
  <c r="B24" i="2"/>
  <c r="B23" i="2"/>
  <c r="B22" i="2"/>
  <c r="B21" i="2"/>
  <c r="C18" i="2"/>
  <c r="B18" i="2"/>
  <c r="D18" i="2" s="1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B23" i="4" l="1"/>
  <c r="G7" i="6"/>
  <c r="C16" i="5"/>
  <c r="D16" i="5" s="1"/>
  <c r="G16" i="5" s="1"/>
  <c r="C20" i="5"/>
  <c r="D20" i="5" s="1"/>
  <c r="G20" i="5" s="1"/>
  <c r="C24" i="5"/>
  <c r="D24" i="5" s="1"/>
  <c r="G24" i="5" s="1"/>
  <c r="C28" i="5"/>
  <c r="D28" i="5" s="1"/>
  <c r="G28" i="5" s="1"/>
  <c r="G10" i="6"/>
  <c r="F9" i="5"/>
  <c r="G5" i="6"/>
  <c r="G13" i="6"/>
  <c r="B26" i="2"/>
  <c r="C11" i="5"/>
  <c r="D11" i="5" s="1"/>
  <c r="G11" i="5" s="1"/>
  <c r="C15" i="5"/>
  <c r="D15" i="5" s="1"/>
  <c r="G15" i="5" s="1"/>
  <c r="C19" i="5"/>
  <c r="D19" i="5" s="1"/>
  <c r="G19" i="5" s="1"/>
  <c r="C23" i="5"/>
  <c r="D23" i="5" s="1"/>
  <c r="G23" i="5" s="1"/>
  <c r="C27" i="5"/>
  <c r="D27" i="5" s="1"/>
  <c r="G27" i="5" s="1"/>
  <c r="C31" i="5"/>
  <c r="D31" i="5" s="1"/>
  <c r="G31" i="5" s="1"/>
  <c r="G8" i="6"/>
  <c r="B19" i="4"/>
  <c r="G11" i="6"/>
  <c r="C10" i="5"/>
  <c r="D10" i="5" s="1"/>
  <c r="G10" i="5" s="1"/>
  <c r="C14" i="5"/>
  <c r="D14" i="5" s="1"/>
  <c r="G14" i="5" s="1"/>
  <c r="C18" i="5"/>
  <c r="D18" i="5" s="1"/>
  <c r="G18" i="5" s="1"/>
  <c r="C22" i="5"/>
  <c r="D22" i="5" s="1"/>
  <c r="G22" i="5" s="1"/>
  <c r="C26" i="5"/>
  <c r="D26" i="5" s="1"/>
  <c r="G26" i="5" s="1"/>
  <c r="G6" i="6"/>
  <c r="G14" i="6"/>
  <c r="G9" i="6"/>
  <c r="E15" i="6"/>
  <c r="C9" i="5"/>
  <c r="D9" i="5" s="1"/>
  <c r="G9" i="5" s="1"/>
  <c r="C13" i="5"/>
  <c r="D13" i="5" s="1"/>
  <c r="G13" i="5" s="1"/>
  <c r="C17" i="5"/>
  <c r="D17" i="5" s="1"/>
  <c r="G17" i="5" s="1"/>
  <c r="C21" i="5"/>
  <c r="D21" i="5" s="1"/>
  <c r="G21" i="5" s="1"/>
  <c r="C25" i="5"/>
  <c r="D25" i="5" s="1"/>
  <c r="G25" i="5" s="1"/>
</calcChain>
</file>

<file path=xl/sharedStrings.xml><?xml version="1.0" encoding="utf-8"?>
<sst xmlns="http://schemas.openxmlformats.org/spreadsheetml/2006/main" count="149" uniqueCount="127">
  <si>
    <t>حاسبة الطاقة الشمسية والتوفير في فواتير الكهرباء</t>
  </si>
  <si>
    <t>احسب عائدك من الطاقة الشمسية قبل أن تستثمر – قرار مبني على أرقام</t>
  </si>
  <si>
    <t>☀️ استهلاكك الحالي</t>
  </si>
  <si>
    <t>🔋 حجم النظام</t>
  </si>
  <si>
    <t>💰 التكاليف</t>
  </si>
  <si>
    <t>حلل فاتورة كهرباءك</t>
  </si>
  <si>
    <t>كم لوح تحتاج؟</t>
  </si>
  <si>
    <t>سعر النظام والتركيب</t>
  </si>
  <si>
    <t>📈 العائد</t>
  </si>
  <si>
    <t>🌱 الكربون</t>
  </si>
  <si>
    <t>📊 30 سنة</t>
  </si>
  <si>
    <t>ROI وفترة الاسترداد</t>
  </si>
  <si>
    <t>أثرك البيئي</t>
  </si>
  <si>
    <t>محاكاة طويلة الأجل</t>
  </si>
  <si>
    <t>تحليل استهلاك الكهرباء الحالي</t>
  </si>
  <si>
    <t>السعودية: متوسط الاستهلاك المنزلي 18,000-30,000 كيلوواط/سنة | التعريفة التجارية أعلى</t>
  </si>
  <si>
    <t>فواتير الكهرباء الشهرية</t>
  </si>
  <si>
    <t>الشهر</t>
  </si>
  <si>
    <t>الاستهلاك (كيلوواط/ساعة)</t>
  </si>
  <si>
    <t>قيمة الفاتورة (ريال)</t>
  </si>
  <si>
    <t>سعر الكيلوواط (هللة)</t>
  </si>
  <si>
    <t>الشهر الأعلى؟</t>
  </si>
  <si>
    <t>ملاحظات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</si>
  <si>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</si>
  <si>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</si>
  <si>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</si>
  <si>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</si>
  <si>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</si>
  <si>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</si>
  <si>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</si>
  <si>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</si>
  <si>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</si>
  <si>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</si>
  <si>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</si>
  <si>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</si>
  <si>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الإجمالي السنوي</t>
  </si>
  <si>
    <t>ملخص الاستهلاك</t>
  </si>
  <si>
    <t>الاستهلاك السنوي الكلي (كيلوواط/ساعة)</t>
  </si>
  <si>
    <t>متوسط الاستهلاك الشهري (كيلوواط/ساعة)</t>
  </si>
  <si>
    <t>إجمالي الفاتورة السنوية (ريال)</t>
  </si>
  <si>
    <t>متوسط الفاتورة الشهرية (ريال)</t>
  </si>
  <si>
    <t>أعلى فاتورة شهرية (ريال)</t>
  </si>
  <si>
    <t>تكلفة الكيلوواط المتوسطة (هللة)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</si>
  <si>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</si>
  <si>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</si>
  <si>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</si>
  <si>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</si>
  <si>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</si>
  <si>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تصميم النظام الشمسي المناسب لك</t>
  </si>
  <si>
    <t>بيانات الموقع والاحتياج</t>
  </si>
  <si>
    <t>المدينة / المنطقة</t>
  </si>
  <si>
    <t>الرياض</t>
  </si>
  <si>
    <t>ساعات الشمس اليومية المتوسطة</t>
  </si>
  <si>
    <t>الاستهلاك اليومي المستهدف (كيلوواط/ساعة)</t>
  </si>
  <si>
    <t>نسبة التغطية المطلوبة بالطاقة الشمسية %</t>
  </si>
  <si>
    <t>كفاءة النظام الكلية %</t>
  </si>
  <si>
    <t>نتائج تصميم النظام</t>
  </si>
  <si>
    <t>الطاقة اليومية المطلوبة من الألواح (كيلوواط/ساعة)</t>
  </si>
  <si>
    <t>حجم النظام المطلوب (كيلوواط)</t>
  </si>
  <si>
    <t>عدد الألواح المطلوبة (400 واط/لوح)</t>
  </si>
  <si>
    <t>مساحة التركيب المطلوبة (م²)</t>
  </si>
  <si>
    <t>الطاقة السنوية المنتجة (كيلوواط/ساعة)</t>
  </si>
  <si>
    <t>نسبة تغطية الاحتياج السنوي %</t>
  </si>
  <si>
    <t>توجيهات التركيب</t>
  </si>
  <si>
    <t>الاتجاه الأمثل للألواح</t>
  </si>
  <si>
    <t>جنوب (في المملكة العربية السعودية)</t>
  </si>
  <si>
    <t>زاوية الميل المثلى</t>
  </si>
  <si>
    <t>25-30 درجة</t>
  </si>
  <si>
    <t>المسافة بين الصفوف</t>
  </si>
  <si>
    <t>1.5× ارتفاع اللوح على الأقل</t>
  </si>
  <si>
    <t>ساعات الشمس في الرياض</t>
  </si>
  <si>
    <t>7-9 ساعات/يوم</t>
  </si>
  <si>
    <t>ساعات الشمس في جدة</t>
  </si>
  <si>
    <t>7-8 ساعات/يوم</t>
  </si>
  <si>
    <t>ساعات الشمس في نجران</t>
  </si>
  <si>
    <t>8-9 ساعات/يوم</t>
  </si>
  <si>
    <t>حساب العائد على الاستثمار في الطاقة الشمسية</t>
  </si>
  <si>
    <t>تكاليف النظام</t>
  </si>
  <si>
    <t>تكلفة الألواح الشمسية (ريال)</t>
  </si>
  <si>
    <t>تكلفة الإنفرتر والكابلات (ريال)</t>
  </si>
  <si>
    <t>تكلفة التركيب والعمالة (ريال)</t>
  </si>
  <si>
    <t>تكاليف الترخيص والتصاريح (ريال)</t>
  </si>
  <si>
    <t>تكاليف أخرى (ريال)</t>
  </si>
  <si>
    <t>إجمالي تكلفة النظام</t>
  </si>
  <si>
    <t>التوفير السنوي</t>
  </si>
  <si>
    <t>سعر الكيلوواط من الشبكة (هللة)</t>
  </si>
  <si>
    <t>التوفير السنوي من الفاتورة (ريال)</t>
  </si>
  <si>
    <t>معدل زيادة تعريفة الكهرباء سنوياً %</t>
  </si>
  <si>
    <t>تدهور كفاءة الألواح سنوياً %</t>
  </si>
  <si>
    <t>⭐ مؤشرات العائد</t>
  </si>
  <si>
    <t>فترة الاسترداد البسيطة (سنوات)</t>
  </si>
  <si>
    <t>صافي التوفير خلال 10 سنوات (ريال)</t>
  </si>
  <si>
    <t>صافي التوفير خلال 25 سنة (ريال)</t>
  </si>
  <si>
    <t>العائد السنوي على الاستثمار % (ROI)</t>
  </si>
  <si>
    <t>التوفير الشهري المتوسط (ريال)</t>
  </si>
  <si>
    <t>محاكاة توفير الطاقة الشمسية لـ 25 سنة</t>
  </si>
  <si>
    <t>التوفير السنوي الأول (ريال)</t>
  </si>
  <si>
    <t>معدل زيادة التعريفة سنوياً %</t>
  </si>
  <si>
    <t>تكلفة النظام الإجمالية (ريال)</t>
  </si>
  <si>
    <t>تدهور كفاءة الألواح %/سنة</t>
  </si>
  <si>
    <t>السنة</t>
  </si>
  <si>
    <t>التوفير السنوي (ريال)</t>
  </si>
  <si>
    <t>التوفير التراكمي (ريال)</t>
  </si>
  <si>
    <t>صافي الربح التراكمي (ريال)</t>
  </si>
  <si>
    <t>كفاءة الألواح %</t>
  </si>
  <si>
    <t>الكربون الموفَّر (طن CO₂)</t>
  </si>
  <si>
    <t>حالة الاستثمار</t>
  </si>
  <si>
    <t>تدقيق استهلاك الأجهزة الكهربائية</t>
  </si>
  <si>
    <t>اعرف أي جهاز يستهلك أكثر – قبل أو بعد تركيب الطاقة الشمسية</t>
  </si>
  <si>
    <t>الجهاز</t>
  </si>
  <si>
    <t>العدد</t>
  </si>
  <si>
    <t>الاستطاعة (واط)</t>
  </si>
  <si>
    <t>ساعات/يوم</t>
  </si>
  <si>
    <t>استهلاك يومي (كيلوواط/ساعة)</t>
  </si>
  <si>
    <t>استهلاك شهري (ريال)</t>
  </si>
  <si>
    <t>% من الإجمالي</t>
  </si>
  <si>
    <t>مكيف هواء (2 طن)</t>
  </si>
  <si>
    <t>ثلاجة</t>
  </si>
  <si>
    <t>غسالة ملابس</t>
  </si>
  <si>
    <t>تلفاز</t>
  </si>
  <si>
    <t>إضاءة LED</t>
  </si>
  <si>
    <t>سخان ماء</t>
  </si>
  <si>
    <t>حاسوب/لابتوب</t>
  </si>
  <si>
    <t>فرن كهربائي</t>
  </si>
  <si>
    <t>مكنسة كهربائية</t>
  </si>
  <si>
    <t>شاشات/أجهزة أخرى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</si>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</sst>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\1"/>
    <numFmt numFmtId="166" formatCode="0.0%"/>
    <numFmt numFmtId="167" formatCode="#,##0.\2"/>
  </numFmts>
  <fonts count="20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b/>
      <sz val="10"/>
      <color rgb="FF375623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1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1F6B75"/>
        <bgColor rgb="FF2E5FA3"/>
      </patternFill>
    </fill>
    <fill>
      <patternFill patternType="solid">
        <fgColor rgb="FFDEEAF1"/>
        <bgColor rgb="FFD9EEF1"/>
      </patternFill>
    </fill>
    <fill>
      <patternFill patternType="solid">
        <fgColor rgb="FF2E5FA3"/>
        <bgColor rgb="FF1F6B75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D9EEF1"/>
        <bgColor rgb="FFDEEAF1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left" vertical="center" wrapText="1"/>
      <protection locked="0"/>
    </xf>
    <xf numFmtId="3" fontId="10" fillId="5" borderId="2" xfId="0" applyNumberFormat="1" applyFont="1" applyFill="1" applyBorder="1" applyAlignment="1" applyProtection="1">
      <alignment horizontal="right" vertical="center"/>
      <protection locked="0"/>
    </xf>
    <xf numFmtId="164" fontId="10" fillId="5" borderId="2" xfId="0" applyNumberFormat="1" applyFont="1" applyFill="1" applyBorder="1" applyAlignment="1" applyProtection="1">
      <alignment horizontal="right" vertical="center"/>
      <protection locked="0"/>
    </xf>
    <xf numFmtId="49" fontId="10" fillId="5" borderId="2" xfId="0" applyNumberFormat="1" applyFont="1" applyFill="1" applyBorder="1" applyAlignment="1" applyProtection="1">
      <alignment horizontal="right" vertical="center"/>
      <protection locked="0"/>
    </xf>
    <xf numFmtId="0" fontId="9" fillId="8" borderId="2" xfId="0" applyFont="1" applyFill="1" applyBorder="1" applyAlignment="1" applyProtection="1">
      <alignment horizontal="left" vertical="center" wrapText="1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3" fillId="5" borderId="2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2" xfId="0" applyFont="1" applyFill="1" applyBorder="1" applyProtection="1">
      <protection locked="0"/>
    </xf>
    <xf numFmtId="0" fontId="16" fillId="7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0" fontId="18" fillId="10" borderId="2" xfId="0" applyFont="1" applyFill="1" applyBorder="1" applyProtection="1">
      <protection locked="0"/>
    </xf>
    <xf numFmtId="164" fontId="9" fillId="7" borderId="2" xfId="0" applyNumberFormat="1" applyFont="1" applyFill="1" applyBorder="1" applyAlignment="1" applyProtection="1">
      <alignment horizontal="right" vertical="center"/>
      <protection locked="0" hidden="1"/>
    </xf>
    <xf numFmtId="0" fontId="11" fillId="8" borderId="2" xfId="0" applyFont="1" applyFill="1" applyBorder="1" applyAlignment="1" applyProtection="1">
      <alignment horizontal="center" vertical="center" wrapText="1"/>
      <protection locked="0" hidden="1"/>
    </xf>
    <xf numFmtId="165" fontId="9" fillId="7" borderId="2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4" fontId="12" fillId="9" borderId="3" xfId="0" applyNumberFormat="1" applyFont="1" applyFill="1" applyBorder="1" applyAlignment="1" applyProtection="1">
      <alignment horizontal="right" vertical="center"/>
      <protection locked="0" hidden="1"/>
    </xf>
    <xf numFmtId="9" fontId="10" fillId="5" borderId="2" xfId="0" applyNumberFormat="1" applyFont="1" applyFill="1" applyBorder="1" applyAlignment="1" applyProtection="1">
      <alignment horizontal="right" vertical="center"/>
      <protection locked="0"/>
    </xf>
    <xf numFmtId="0" fontId="9" fillId="9" borderId="2" xfId="0" applyFont="1" applyFill="1" applyBorder="1" applyAlignment="1" applyProtection="1">
      <alignment horizontal="left" vertical="center" wrapText="1"/>
      <protection locked="0"/>
    </xf>
    <xf numFmtId="0" fontId="9" fillId="11" borderId="2" xfId="0" applyFont="1" applyFill="1" applyBorder="1" applyAlignment="1" applyProtection="1">
      <alignment horizontal="left" vertical="center" wrapText="1"/>
      <protection locked="0"/>
    </xf>
    <xf numFmtId="164" fontId="12" fillId="9" borderId="3" xfId="0" applyNumberFormat="1" applyFont="1" applyFill="1" applyBorder="1" applyAlignment="1" applyProtection="1">
      <alignment horizontal="right" vertical="center"/>
      <protection locked="0" hidden="1"/>
    </xf>
    <xf numFmtId="166" fontId="10" fillId="5" borderId="2" xfId="0" applyNumberFormat="1" applyFont="1" applyFill="1" applyBorder="1" applyAlignment="1" applyProtection="1">
      <alignment horizontal="right" vertical="center"/>
      <protection locked="0"/>
    </xf>
    <xf numFmtId="3" fontId="9" fillId="7" borderId="2" xfId="0" applyNumberFormat="1" applyFont="1" applyFill="1" applyBorder="1" applyAlignment="1" applyProtection="1">
      <alignment horizontal="right" vertical="center"/>
      <protection locked="0" hidden="1"/>
    </xf>
    <xf numFmtId="0" fontId="13" fillId="5" borderId="2" xfId="0" applyFont="1" applyFill="1" applyBorder="1" applyAlignment="1" applyProtection="1">
      <alignment horizontal="left" vertical="center" wrapText="1"/>
      <protection locked="0" hidden="1"/>
    </xf>
    <xf numFmtId="165" fontId="12" fillId="9" borderId="3" xfId="0" applyNumberFormat="1" applyFont="1" applyFill="1" applyBorder="1" applyAlignment="1" applyProtection="1">
      <alignment horizontal="right" vertical="center"/>
      <protection locked="0" hidden="1"/>
    </xf>
    <xf numFmtId="3" fontId="12" fillId="9" borderId="3" xfId="0" applyNumberFormat="1" applyFont="1" applyFill="1" applyBorder="1" applyAlignment="1" applyProtection="1">
      <alignment horizontal="right" vertical="center"/>
      <protection locked="0" hidden="1"/>
    </xf>
    <xf numFmtId="166" fontId="12" fillId="9" borderId="3" xfId="0" applyNumberFormat="1" applyFont="1" applyFill="1" applyBorder="1" applyAlignment="1" applyProtection="1">
      <alignment horizontal="right" vertical="center"/>
      <protection locked="0" hidden="1"/>
    </xf>
    <xf numFmtId="0" fontId="19" fillId="9" borderId="4" xfId="0" applyFont="1" applyFill="1" applyBorder="1" applyAlignment="1" applyProtection="1">
      <alignment horizontal="center" vertical="center" wrapText="1"/>
      <protection locked="0" hidden="1"/>
    </xf>
    <xf numFmtId="0" fontId="14" fillId="8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5" borderId="2" xfId="0" applyFont="1" applyFill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17" fillId="9" borderId="2" xfId="0" applyFont="1" applyFill="1" applyBorder="1" applyAlignment="1" applyProtection="1">
      <alignment horizontal="center" vertical="center" wrapText="1"/>
      <protection locked="0"/>
    </xf>
    <xf numFmtId="0" fontId="18" fillId="10" borderId="2" xfId="0" applyFont="1" applyFill="1" applyBorder="1" applyAlignment="1" applyProtection="1">
      <alignment horizontal="center" vertical="center" wrapText="1"/>
      <protection locked="0"/>
    </xf>
    <xf numFmtId="166" fontId="9" fillId="7" borderId="2" xfId="0" applyNumberFormat="1" applyFont="1" applyFill="1" applyBorder="1" applyAlignment="1" applyProtection="1">
      <alignment horizontal="right" vertical="center"/>
      <protection locked="0" hidden="1"/>
    </xf>
    <xf numFmtId="0" fontId="11" fillId="10" borderId="2" xfId="0" applyFont="1" applyFill="1" applyBorder="1" applyAlignment="1" applyProtection="1">
      <alignment horizontal="center" vertical="center" wrapText="1"/>
      <protection locked="0" hidden="1"/>
    </xf>
    <xf numFmtId="0" fontId="11" fillId="9" borderId="2" xfId="0" applyFont="1" applyFill="1" applyBorder="1" applyAlignment="1" applyProtection="1">
      <alignment horizontal="center" vertical="center" wrapText="1"/>
      <protection locked="0" hidden="1"/>
    </xf>
    <xf numFmtId="1" fontId="10" fillId="5" borderId="2" xfId="0" applyNumberFormat="1" applyFont="1" applyFill="1" applyBorder="1" applyAlignment="1" applyProtection="1">
      <alignment horizontal="right" vertical="center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167" fontId="9" fillId="7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B75"/>
      <rgbColor rgb="FFBFBFBF"/>
      <rgbColor rgb="FF878787"/>
      <rgbColor rgb="FF9999FF"/>
      <rgbColor rgb="FFBE4B48"/>
      <rgbColor rgb="FFF2F2F2"/>
      <rgbColor rgb="FFD9EE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A7EBB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التوفير التراكمي مقابل تكلفة النظام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9954570273219"/>
          <c:y val="0.17903567927664471"/>
          <c:w val="0.73268932187896862"/>
          <c:h val="0.80281533804710747"/>
        </c:manualLayout>
      </c:layout>
      <c:lineChart>
        <c:grouping val="standard"/>
        <c:varyColors val="0"/>
        <c:ser>
          <c:idx val="0"/>
          <c:order val="0"/>
          <c:tx>
            <c:v>التوفير التراكمي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'محاكاة 25 سنة'!$C$6:$C$31</c:f>
              <c:numCache>
                <c:formatCode>#,##0</c:formatCode>
                <c:ptCount val="26"/>
                <c:pt idx="0" formatCode="General">
                  <c:v>0</c:v>
                </c:pt>
                <c:pt idx="1">
                  <c:v>4140</c:v>
                </c:pt>
                <c:pt idx="2">
                  <c:v>8465.2649999999994</c:v>
                </c:pt>
                <c:pt idx="3">
                  <c:v>12984.08560875</c:v>
                </c:pt>
                <c:pt idx="4">
                  <c:v>17705.123439741561</c:v>
                </c:pt>
                <c:pt idx="5">
                  <c:v>22637.427713669997</c:v>
                </c:pt>
                <c:pt idx="6">
                  <c:v>27790.452603856731</c:v>
                </c:pt>
                <c:pt idx="7">
                  <c:v>33174.075357879323</c:v>
                </c:pt>
                <c:pt idx="8">
                  <c:v>38798.615230144424</c:v>
                </c:pt>
                <c:pt idx="9">
                  <c:v>44674.853261693388</c:v>
                </c:pt>
                <c:pt idx="10">
                  <c:v>50814.052945154166</c:v>
                </c:pt>
                <c:pt idx="11">
                  <c:v>57227.981814449813</c:v>
                </c:pt>
                <c:pt idx="12">
                  <c:v>63928.934000646441</c:v>
                </c:pt>
                <c:pt idx="13">
                  <c:v>70929.753797175363</c:v>
                </c:pt>
                <c:pt idx="14">
                  <c:v>78243.860279598957</c:v>
                </c:pt>
                <c:pt idx="15">
                  <c:v>85885.273027111019</c:v>
                </c:pt>
                <c:pt idx="16">
                  <c:v>93868.638995074245</c:v>
                </c:pt>
                <c:pt idx="17">
                  <c:v>102209.26059010382</c:v>
                </c:pt>
                <c:pt idx="18">
                  <c:v>110923.12500151097</c:v>
                </c:pt>
                <c:pt idx="19">
                  <c:v>120026.93484532859</c:v>
                </c:pt>
                <c:pt idx="20">
                  <c:v>129538.14017965706</c:v>
                </c:pt>
                <c:pt idx="21">
                  <c:v>139474.97195269671</c:v>
                </c:pt>
                <c:pt idx="22">
                  <c:v>149856.47694757988</c:v>
                </c:pt>
                <c:pt idx="23">
                  <c:v>160702.55429098409</c:v>
                </c:pt>
                <c:pt idx="24">
                  <c:v>172033.99359550563</c:v>
                </c:pt>
                <c:pt idx="25">
                  <c:v>183872.5148089045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B1-4D0B-8B0C-A9A1681DEAE9}"/>
            </c:ext>
          </c:extLst>
        </c:ser>
        <c:ser>
          <c:idx val="1"/>
          <c:order val="1"/>
          <c:tx>
            <c:v>صافي الربح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'محاكاة 25 سنة'!$D$6:$D$31</c:f>
              <c:numCache>
                <c:formatCode>#,##0</c:formatCode>
                <c:ptCount val="26"/>
                <c:pt idx="0" formatCode="General">
                  <c:v>0</c:v>
                </c:pt>
                <c:pt idx="1">
                  <c:v>-26860</c:v>
                </c:pt>
                <c:pt idx="2">
                  <c:v>-22534.735000000001</c:v>
                </c:pt>
                <c:pt idx="3">
                  <c:v>-18015.91439125</c:v>
                </c:pt>
                <c:pt idx="4">
                  <c:v>-13294.876560258439</c:v>
                </c:pt>
                <c:pt idx="5">
                  <c:v>-8362.5722863300034</c:v>
                </c:pt>
                <c:pt idx="6">
                  <c:v>-3209.547396143269</c:v>
                </c:pt>
                <c:pt idx="7">
                  <c:v>2174.0753578793228</c:v>
                </c:pt>
                <c:pt idx="8">
                  <c:v>7798.6152301444235</c:v>
                </c:pt>
                <c:pt idx="9">
                  <c:v>13674.853261693388</c:v>
                </c:pt>
                <c:pt idx="10">
                  <c:v>19814.052945154166</c:v>
                </c:pt>
                <c:pt idx="11">
                  <c:v>26227.981814449813</c:v>
                </c:pt>
                <c:pt idx="12">
                  <c:v>32928.934000646441</c:v>
                </c:pt>
                <c:pt idx="13">
                  <c:v>39929.753797175363</c:v>
                </c:pt>
                <c:pt idx="14">
                  <c:v>47243.860279598957</c:v>
                </c:pt>
                <c:pt idx="15">
                  <c:v>54885.273027111019</c:v>
                </c:pt>
                <c:pt idx="16">
                  <c:v>62868.638995074245</c:v>
                </c:pt>
                <c:pt idx="17">
                  <c:v>71209.260590103819</c:v>
                </c:pt>
                <c:pt idx="18">
                  <c:v>79923.125001510969</c:v>
                </c:pt>
                <c:pt idx="19">
                  <c:v>89026.934845328593</c:v>
                </c:pt>
                <c:pt idx="20">
                  <c:v>98538.140179657057</c:v>
                </c:pt>
                <c:pt idx="21">
                  <c:v>108474.97195269671</c:v>
                </c:pt>
                <c:pt idx="22">
                  <c:v>118856.47694757988</c:v>
                </c:pt>
                <c:pt idx="23">
                  <c:v>129702.55429098409</c:v>
                </c:pt>
                <c:pt idx="24">
                  <c:v>141033.99359550563</c:v>
                </c:pt>
                <c:pt idx="25">
                  <c:v>152872.5148089045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B1-4D0B-8B0C-A9A1681DE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922185"/>
        <c:axId val="53353056"/>
      </c:lineChart>
      <c:catAx>
        <c:axId val="57922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السنة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53353056"/>
        <c:crosses val="autoZero"/>
        <c:auto val="1"/>
        <c:lblAlgn val="ctr"/>
        <c:lblOffset val="100"/>
        <c:noMultiLvlLbl val="0"/>
      </c:catAx>
      <c:valAx>
        <c:axId val="53353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ريال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57922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59531</xdr:rowOff>
    </xdr:from>
    <xdr:to>
      <xdr:col>6</xdr:col>
      <xdr:colOff>0</xdr:colOff>
      <xdr:row>51</xdr:row>
      <xdr:rowOff>23760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rightToLeft="1" topLeftCell="A11" zoomScaleNormal="100" workbookViewId="0">
      <selection activeCell="B21" sqref="B21:B26"/>
    </sheetView>
  </sheetViews>
  <sheetFormatPr defaultColWidth="8.6328125" defaultRowHeight="14.5" x14ac:dyDescent="0.35"/>
  <cols>
    <col min="1" max="1" width="24" style="7" customWidth="1"/>
    <col min="2" max="2" width="20" style="7" customWidth="1"/>
    <col min="3" max="3" width="18" style="7" customWidth="1"/>
    <col min="4" max="4" width="16" style="7" customWidth="1"/>
    <col min="5" max="6" width="14" style="7" customWidth="1"/>
    <col min="7" max="16384" width="8.6328125" style="7"/>
  </cols>
  <sheetData>
    <row r="1" spans="1:6" ht="27.75" customHeight="1" x14ac:dyDescent="0.35">
      <c r="A1" s="6" t="s">
        <v>14</v>
      </c>
      <c r="B1" s="6"/>
      <c r="C1" s="6"/>
      <c r="D1" s="6"/>
      <c r="E1" s="6"/>
      <c r="F1" s="6"/>
    </row>
    <row r="2" spans="1:6" ht="15" customHeight="1" x14ac:dyDescent="0.35">
      <c r="A2" s="8" t="s">
        <v>15</v>
      </c>
      <c r="B2" s="8"/>
      <c r="C2" s="8"/>
      <c r="D2" s="8"/>
      <c r="E2" s="8"/>
      <c r="F2" s="8"/>
    </row>
    <row r="4" spans="1:6" ht="16.5" customHeight="1" x14ac:dyDescent="0.35">
      <c r="A4" s="9" t="s">
        <v>16</v>
      </c>
      <c r="B4" s="9"/>
      <c r="C4" s="9"/>
      <c r="D4" s="9"/>
      <c r="E4" s="9"/>
      <c r="F4" s="9"/>
    </row>
    <row r="5" spans="1:6" ht="16.5" customHeight="1" x14ac:dyDescent="0.35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</row>
    <row r="6" spans="1:6" ht="16.5" customHeight="1" x14ac:dyDescent="0.35">
      <c r="A6" s="11" t="s">
        <v>23</v>
      </c>
      <c r="B6" s="12">
        <v>1200</v>
      </c>
      <c r="C6" s="13">
        <v>180</v>
      </c>
      <c r="D6" s="24">
        <f t="shared" ref="D6:D18" si="0">IF(B6=0,0,C6/B6*100)</f>
        <v>15</v>
      </c>
      <c r="E6" s="25" t="str">
        <f t="shared" ref="E6:E17" si="1">IF(B6=MAX(B$6:B$17),"🔴 ذروة","")&amp;IF(B6=MIN(B$6:B$17),"🟢 أدنى","")</f>
        <v/>
      </c>
      <c r="F6" s="14"/>
    </row>
    <row r="7" spans="1:6" ht="16.5" customHeight="1" x14ac:dyDescent="0.35">
      <c r="A7" s="15" t="s">
        <v>24</v>
      </c>
      <c r="B7" s="12">
        <v>1100</v>
      </c>
      <c r="C7" s="13">
        <v>165</v>
      </c>
      <c r="D7" s="24">
        <f t="shared" si="0"/>
        <v>15</v>
      </c>
      <c r="E7" s="25" t="str">
        <f t="shared" si="1"/>
        <v>🟢 أدنى</v>
      </c>
      <c r="F7" s="14"/>
    </row>
    <row r="8" spans="1:6" ht="16.5" customHeight="1" x14ac:dyDescent="0.35">
      <c r="A8" s="11" t="s">
        <v>25</v>
      </c>
      <c r="B8" s="12">
        <v>1300</v>
      </c>
      <c r="C8" s="13">
        <v>195</v>
      </c>
      <c r="D8" s="24">
        <f t="shared" si="0"/>
        <v>15</v>
      </c>
      <c r="E8" s="25" t="str">
        <f t="shared" si="1"/>
        <v/>
      </c>
      <c r="F8" s="14"/>
    </row>
    <row r="9" spans="1:6" ht="15.75" customHeight="1" x14ac:dyDescent="0.35">
      <c r="A9" s="15" t="s">
        <v>26</v>
      </c>
      <c r="B9" s="12">
        <v>1600</v>
      </c>
      <c r="C9" s="13">
        <v>240</v>
      </c>
      <c r="D9" s="24">
        <f t="shared" si="0"/>
        <v>15</v>
      </c>
      <c r="E9" s="25" t="str">
        <f t="shared" si="1"/>
        <v/>
      </c>
      <c r="F9" s="14"/>
    </row>
    <row r="10" spans="1:6" ht="15.75" customHeight="1" x14ac:dyDescent="0.35">
      <c r="A10" s="11" t="s">
        <v>27</v>
      </c>
      <c r="B10" s="12">
        <v>2200</v>
      </c>
      <c r="C10" s="13">
        <v>330</v>
      </c>
      <c r="D10" s="24">
        <f t="shared" si="0"/>
        <v>15</v>
      </c>
      <c r="E10" s="25" t="str">
        <f t="shared" si="1"/>
        <v/>
      </c>
      <c r="F10" s="14"/>
    </row>
    <row r="11" spans="1:6" ht="15.75" customHeight="1" x14ac:dyDescent="0.35">
      <c r="A11" s="15" t="s">
        <v>28</v>
      </c>
      <c r="B11" s="12">
        <v>2800</v>
      </c>
      <c r="C11" s="13">
        <v>420</v>
      </c>
      <c r="D11" s="24">
        <f t="shared" si="0"/>
        <v>15</v>
      </c>
      <c r="E11" s="25" t="str">
        <f t="shared" si="1"/>
        <v/>
      </c>
      <c r="F11" s="14"/>
    </row>
    <row r="12" spans="1:6" ht="15.75" customHeight="1" x14ac:dyDescent="0.35">
      <c r="A12" s="11" t="s">
        <v>29</v>
      </c>
      <c r="B12" s="12">
        <v>3200</v>
      </c>
      <c r="C12" s="13">
        <v>480</v>
      </c>
      <c r="D12" s="24">
        <f t="shared" si="0"/>
        <v>15</v>
      </c>
      <c r="E12" s="25" t="str">
        <f t="shared" si="1"/>
        <v>🔴 ذروة</v>
      </c>
      <c r="F12" s="14"/>
    </row>
    <row r="13" spans="1:6" ht="15.75" customHeight="1" x14ac:dyDescent="0.35">
      <c r="A13" s="15" t="s">
        <v>30</v>
      </c>
      <c r="B13" s="12">
        <v>3100</v>
      </c>
      <c r="C13" s="13">
        <v>465</v>
      </c>
      <c r="D13" s="24">
        <f t="shared" si="0"/>
        <v>15</v>
      </c>
      <c r="E13" s="25" t="str">
        <f t="shared" si="1"/>
        <v/>
      </c>
      <c r="F13" s="14"/>
    </row>
    <row r="14" spans="1:6" ht="15.75" customHeight="1" x14ac:dyDescent="0.35">
      <c r="A14" s="11" t="s">
        <v>31</v>
      </c>
      <c r="B14" s="12">
        <v>2600</v>
      </c>
      <c r="C14" s="13">
        <v>390</v>
      </c>
      <c r="D14" s="24">
        <f t="shared" si="0"/>
        <v>15</v>
      </c>
      <c r="E14" s="25" t="str">
        <f t="shared" si="1"/>
        <v/>
      </c>
      <c r="F14" s="14"/>
    </row>
    <row r="15" spans="1:6" ht="15.75" customHeight="1" x14ac:dyDescent="0.35">
      <c r="A15" s="15" t="s">
        <v>32</v>
      </c>
      <c r="B15" s="12">
        <v>1800</v>
      </c>
      <c r="C15" s="13">
        <v>270</v>
      </c>
      <c r="D15" s="24">
        <f t="shared" si="0"/>
        <v>15</v>
      </c>
      <c r="E15" s="25" t="str">
        <f t="shared" si="1"/>
        <v/>
      </c>
      <c r="F15" s="14"/>
    </row>
    <row r="16" spans="1:6" ht="15.75" customHeight="1" x14ac:dyDescent="0.35">
      <c r="A16" s="11" t="s">
        <v>33</v>
      </c>
      <c r="B16" s="12">
        <v>1400</v>
      </c>
      <c r="C16" s="13">
        <v>210</v>
      </c>
      <c r="D16" s="24">
        <f t="shared" si="0"/>
        <v>15</v>
      </c>
      <c r="E16" s="25" t="str">
        <f t="shared" si="1"/>
        <v/>
      </c>
      <c r="F16" s="14"/>
    </row>
    <row r="17" spans="1:6" ht="15.75" customHeight="1" x14ac:dyDescent="0.35">
      <c r="A17" s="15" t="s">
        <v>34</v>
      </c>
      <c r="B17" s="12">
        <v>1200</v>
      </c>
      <c r="C17" s="13">
        <v>180</v>
      </c>
      <c r="D17" s="24">
        <f t="shared" si="0"/>
        <v>15</v>
      </c>
      <c r="E17" s="25" t="str">
        <f t="shared" si="1"/>
        <v/>
      </c>
      <c r="F17" s="14"/>
    </row>
    <row r="18" spans="1:6" ht="19.5" customHeight="1" x14ac:dyDescent="0.35">
      <c r="A18" s="16" t="s">
        <v>35</v>
      </c>
      <c r="B18" s="28">
        <f>SUM(B6:B17)</f>
        <v>23500</v>
      </c>
      <c r="C18" s="28">
        <f>SUM(C6:C17)</f>
        <v>3525</v>
      </c>
      <c r="D18" s="26">
        <f t="shared" si="0"/>
        <v>15</v>
      </c>
      <c r="E18" s="27"/>
    </row>
    <row r="20" spans="1:6" ht="21.75" customHeight="1" x14ac:dyDescent="0.35">
      <c r="A20" s="17" t="s">
        <v>36</v>
      </c>
      <c r="B20" s="17"/>
      <c r="C20" s="17"/>
      <c r="D20" s="17"/>
      <c r="E20" s="17"/>
      <c r="F20" s="17"/>
    </row>
    <row r="21" spans="1:6" ht="16.5" customHeight="1" x14ac:dyDescent="0.35">
      <c r="A21" s="18" t="s">
        <v>37</v>
      </c>
      <c r="B21" s="26">
        <f>B18</f>
        <v>23500</v>
      </c>
    </row>
    <row r="22" spans="1:6" ht="16.5" customHeight="1" x14ac:dyDescent="0.35">
      <c r="A22" s="18" t="s">
        <v>38</v>
      </c>
      <c r="B22" s="26">
        <f>B18/12</f>
        <v>1958.3333333333333</v>
      </c>
    </row>
    <row r="23" spans="1:6" ht="16.5" customHeight="1" x14ac:dyDescent="0.35">
      <c r="A23" s="18" t="s">
        <v>39</v>
      </c>
      <c r="B23" s="26">
        <f>C18</f>
        <v>3525</v>
      </c>
    </row>
    <row r="24" spans="1:6" ht="16.5" customHeight="1" x14ac:dyDescent="0.35">
      <c r="A24" s="18" t="s">
        <v>40</v>
      </c>
      <c r="B24" s="26">
        <f>C18/12</f>
        <v>293.75</v>
      </c>
    </row>
    <row r="25" spans="1:6" ht="16.5" customHeight="1" x14ac:dyDescent="0.35">
      <c r="A25" s="18" t="s">
        <v>41</v>
      </c>
      <c r="B25" s="26">
        <f>MAX(C6:C17)</f>
        <v>480</v>
      </c>
    </row>
    <row r="26" spans="1:6" ht="16.5" customHeight="1" x14ac:dyDescent="0.35">
      <c r="A26" s="18" t="s">
        <v>42</v>
      </c>
      <c r="B26" s="26">
        <f>IF(B18=0,0,C18/B18*100)</f>
        <v>15</v>
      </c>
    </row>
    <row r="28" spans="1:6" x14ac:dyDescent="0.35">
      <c r="A28" s="19" t="s">
        <v>43</v>
      </c>
    </row>
    <row r="29" spans="1:6" ht="12.75" customHeight="1" x14ac:dyDescent="0.35">
      <c r="A29" s="20" t="s">
        <v>44</v>
      </c>
    </row>
    <row r="30" spans="1:6" ht="12.75" customHeight="1" x14ac:dyDescent="0.35">
      <c r="A30" s="21" t="s">
        <v>45</v>
      </c>
    </row>
    <row r="31" spans="1:6" ht="12.75" customHeight="1" x14ac:dyDescent="0.35">
      <c r="A31" s="22" t="s">
        <v>46</v>
      </c>
    </row>
    <row r="32" spans="1:6" ht="12.75" customHeight="1" x14ac:dyDescent="0.35">
      <c r="A32" s="23" t="s">
        <v>47</v>
      </c>
    </row>
  </sheetData>
  <sheetProtection algorithmName="SHA-512" hashValue="Qcc4JDf+AKxm7rSAMAuu6i4Rj6QBrwlhsJ3hJ+Q/VjNsf0LjnPoGGZGjwadrPhzq3eliw1bn8KXu+SRfBxieWw==" saltValue="cvZawsuwdh0WLXBOe8PqwA==" spinCount="100000" sheet="1" objects="1" scenarios="1"/>
  <mergeCells count="4">
    <mergeCell ref="A1:F1"/>
    <mergeCell ref="A2:F2"/>
    <mergeCell ref="A4:F4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rightToLeft="1" zoomScaleNormal="100" workbookViewId="0">
      <selection activeCell="B24" sqref="B24"/>
    </sheetView>
  </sheetViews>
  <sheetFormatPr defaultColWidth="8.6328125" defaultRowHeight="14.5" x14ac:dyDescent="0.35"/>
  <cols>
    <col min="1" max="1" width="34" style="7" customWidth="1"/>
    <col min="2" max="2" width="20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48</v>
      </c>
      <c r="B1" s="6"/>
      <c r="C1" s="6"/>
      <c r="D1" s="6"/>
      <c r="E1" s="6"/>
    </row>
    <row r="3" spans="1:5" ht="21.75" customHeight="1" x14ac:dyDescent="0.35">
      <c r="A3" s="9" t="s">
        <v>49</v>
      </c>
      <c r="B3" s="9"/>
      <c r="C3" s="9"/>
      <c r="D3" s="9"/>
      <c r="E3" s="9"/>
    </row>
    <row r="4" spans="1:5" ht="16.5" customHeight="1" x14ac:dyDescent="0.35">
      <c r="A4" s="15" t="s">
        <v>50</v>
      </c>
      <c r="B4" s="14" t="s">
        <v>51</v>
      </c>
    </row>
    <row r="5" spans="1:5" ht="16.5" customHeight="1" x14ac:dyDescent="0.35">
      <c r="A5" s="15" t="s">
        <v>52</v>
      </c>
      <c r="B5" s="13">
        <v>7.5</v>
      </c>
    </row>
    <row r="6" spans="1:5" ht="16.5" customHeight="1" x14ac:dyDescent="0.35">
      <c r="A6" s="15" t="s">
        <v>53</v>
      </c>
      <c r="B6" s="13">
        <v>58</v>
      </c>
    </row>
    <row r="7" spans="1:5" ht="16.5" customHeight="1" x14ac:dyDescent="0.35">
      <c r="A7" s="15" t="s">
        <v>54</v>
      </c>
      <c r="B7" s="29">
        <v>0.8</v>
      </c>
    </row>
    <row r="8" spans="1:5" ht="16.5" customHeight="1" x14ac:dyDescent="0.35">
      <c r="A8" s="15" t="s">
        <v>55</v>
      </c>
      <c r="B8" s="29">
        <v>0.78</v>
      </c>
    </row>
    <row r="10" spans="1:5" ht="21.75" customHeight="1" x14ac:dyDescent="0.35">
      <c r="A10" s="17" t="s">
        <v>56</v>
      </c>
      <c r="B10" s="17"/>
      <c r="C10" s="17"/>
      <c r="D10" s="17"/>
      <c r="E10" s="17"/>
    </row>
    <row r="11" spans="1:5" ht="18" customHeight="1" x14ac:dyDescent="0.35">
      <c r="A11" s="18" t="s">
        <v>57</v>
      </c>
      <c r="B11" s="32">
        <f>B6*B7</f>
        <v>46.400000000000006</v>
      </c>
    </row>
    <row r="12" spans="1:5" ht="18" customHeight="1" x14ac:dyDescent="0.35">
      <c r="A12" s="18" t="s">
        <v>58</v>
      </c>
      <c r="B12" s="32">
        <f>IF(B5*B8=0,0,B11/(B5*B8))</f>
        <v>7.9316239316239319</v>
      </c>
    </row>
    <row r="13" spans="1:5" ht="18" customHeight="1" x14ac:dyDescent="0.35">
      <c r="A13" s="18" t="s">
        <v>59</v>
      </c>
      <c r="B13" s="32">
        <f>CEILING(B12/0.4,1)</f>
        <v>20</v>
      </c>
    </row>
    <row r="14" spans="1:5" ht="18" customHeight="1" x14ac:dyDescent="0.35">
      <c r="A14" s="18" t="s">
        <v>60</v>
      </c>
      <c r="B14" s="32">
        <f>B13*2</f>
        <v>40</v>
      </c>
    </row>
    <row r="15" spans="1:5" ht="18" customHeight="1" x14ac:dyDescent="0.35">
      <c r="A15" s="18" t="s">
        <v>61</v>
      </c>
      <c r="B15" s="32">
        <f>B12*B5*365*B8</f>
        <v>16936</v>
      </c>
    </row>
    <row r="16" spans="1:5" ht="18" customHeight="1" x14ac:dyDescent="0.35">
      <c r="A16" s="18" t="s">
        <v>62</v>
      </c>
      <c r="B16" s="32">
        <f>IF(B6*365=0,0,B15/(B6*365))</f>
        <v>0.8</v>
      </c>
    </row>
    <row r="18" spans="1:5" ht="21.75" customHeight="1" x14ac:dyDescent="0.35">
      <c r="A18" s="9" t="s">
        <v>63</v>
      </c>
      <c r="B18" s="9"/>
      <c r="C18" s="9"/>
      <c r="D18" s="9"/>
      <c r="E18" s="9"/>
    </row>
    <row r="19" spans="1:5" ht="16.5" customHeight="1" x14ac:dyDescent="0.35">
      <c r="A19" s="11" t="s">
        <v>64</v>
      </c>
      <c r="B19" s="30" t="s">
        <v>65</v>
      </c>
    </row>
    <row r="20" spans="1:5" ht="16.5" customHeight="1" x14ac:dyDescent="0.35">
      <c r="A20" s="15" t="s">
        <v>66</v>
      </c>
      <c r="B20" s="30" t="s">
        <v>67</v>
      </c>
    </row>
    <row r="21" spans="1:5" ht="16.5" customHeight="1" x14ac:dyDescent="0.35">
      <c r="A21" s="11" t="s">
        <v>68</v>
      </c>
      <c r="B21" s="30" t="s">
        <v>69</v>
      </c>
    </row>
    <row r="22" spans="1:5" ht="16.5" customHeight="1" x14ac:dyDescent="0.35">
      <c r="A22" s="15" t="s">
        <v>70</v>
      </c>
      <c r="B22" s="30" t="s">
        <v>71</v>
      </c>
    </row>
    <row r="23" spans="1:5" ht="16.5" customHeight="1" x14ac:dyDescent="0.35">
      <c r="A23" s="11" t="s">
        <v>72</v>
      </c>
      <c r="B23" s="30" t="s">
        <v>73</v>
      </c>
    </row>
    <row r="24" spans="1:5" ht="16.5" customHeight="1" x14ac:dyDescent="0.35">
      <c r="A24" s="15" t="s">
        <v>74</v>
      </c>
      <c r="B24" s="31" t="s">
        <v>75</v>
      </c>
    </row>
    <row r="26" spans="1:5" x14ac:dyDescent="0.35">
      <c r="A26" s="19" t="s">
        <v>43</v>
      </c>
    </row>
    <row r="27" spans="1:5" ht="12.75" customHeight="1" x14ac:dyDescent="0.35">
      <c r="A27" s="20" t="s">
        <v>44</v>
      </c>
    </row>
    <row r="28" spans="1:5" ht="12.75" customHeight="1" x14ac:dyDescent="0.35">
      <c r="A28" s="21" t="s">
        <v>45</v>
      </c>
    </row>
    <row r="29" spans="1:5" ht="12.75" customHeight="1" x14ac:dyDescent="0.35">
      <c r="A29" s="22" t="s">
        <v>46</v>
      </c>
    </row>
    <row r="30" spans="1:5" ht="12.75" customHeight="1" x14ac:dyDescent="0.35">
      <c r="A30" s="23" t="s">
        <v>47</v>
      </c>
    </row>
  </sheetData>
  <sheetProtection algorithmName="SHA-512" hashValue="FvdLep0UFGY3G/ef9lXyAwGIFdcvb/TYUKIBo9Br29JxldarqgIcVzkry3FHHPZDcSssn9VnhdHUXtS6r2CybQ==" saltValue="rnbMm901tfjIsrh/kyAHJw==" spinCount="100000" sheet="1" objects="1" scenarios="1"/>
  <mergeCells count="4">
    <mergeCell ref="A1:E1"/>
    <mergeCell ref="A3:E3"/>
    <mergeCell ref="A10:E10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rightToLeft="1" topLeftCell="A11" zoomScaleNormal="100" workbookViewId="0">
      <selection activeCell="B19" sqref="A19:E25"/>
    </sheetView>
  </sheetViews>
  <sheetFormatPr defaultColWidth="8.6328125" defaultRowHeight="14.5" x14ac:dyDescent="0.35"/>
  <cols>
    <col min="1" max="1" width="34" style="7" customWidth="1"/>
    <col min="2" max="2" width="18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76</v>
      </c>
      <c r="B1" s="6"/>
      <c r="C1" s="6"/>
      <c r="D1" s="6"/>
      <c r="E1" s="6"/>
    </row>
    <row r="3" spans="1:5" ht="21.75" customHeight="1" x14ac:dyDescent="0.35">
      <c r="A3" s="9" t="s">
        <v>77</v>
      </c>
      <c r="B3" s="9"/>
      <c r="C3" s="9"/>
      <c r="D3" s="9"/>
      <c r="E3" s="9"/>
    </row>
    <row r="4" spans="1:5" x14ac:dyDescent="0.35">
      <c r="A4" s="15" t="s">
        <v>78</v>
      </c>
      <c r="B4" s="12">
        <v>18000</v>
      </c>
    </row>
    <row r="5" spans="1:5" x14ac:dyDescent="0.35">
      <c r="A5" s="15" t="s">
        <v>79</v>
      </c>
      <c r="B5" s="12">
        <v>6000</v>
      </c>
    </row>
    <row r="6" spans="1:5" x14ac:dyDescent="0.35">
      <c r="A6" s="15" t="s">
        <v>80</v>
      </c>
      <c r="B6" s="12">
        <v>5000</v>
      </c>
    </row>
    <row r="7" spans="1:5" x14ac:dyDescent="0.35">
      <c r="A7" s="15" t="s">
        <v>81</v>
      </c>
      <c r="B7" s="12">
        <v>1500</v>
      </c>
    </row>
    <row r="8" spans="1:5" x14ac:dyDescent="0.35">
      <c r="A8" s="15" t="s">
        <v>82</v>
      </c>
      <c r="B8" s="12">
        <v>500</v>
      </c>
    </row>
    <row r="9" spans="1:5" ht="19.5" customHeight="1" x14ac:dyDescent="0.35">
      <c r="A9" s="16" t="s">
        <v>83</v>
      </c>
      <c r="B9" s="28">
        <f>SUM(B4:B8)</f>
        <v>31000</v>
      </c>
    </row>
    <row r="11" spans="1:5" ht="21.75" customHeight="1" x14ac:dyDescent="0.35">
      <c r="A11" s="9" t="s">
        <v>84</v>
      </c>
      <c r="B11" s="9"/>
      <c r="C11" s="9"/>
      <c r="D11" s="9"/>
      <c r="E11" s="9"/>
    </row>
    <row r="12" spans="1:5" ht="16.5" customHeight="1" x14ac:dyDescent="0.35">
      <c r="A12" s="15" t="s">
        <v>61</v>
      </c>
      <c r="B12" s="12">
        <v>23000</v>
      </c>
    </row>
    <row r="13" spans="1:5" ht="16.5" customHeight="1" x14ac:dyDescent="0.35">
      <c r="A13" s="15" t="s">
        <v>85</v>
      </c>
      <c r="B13" s="12">
        <v>18</v>
      </c>
    </row>
    <row r="14" spans="1:5" ht="16.5" customHeight="1" x14ac:dyDescent="0.35">
      <c r="A14" s="15" t="s">
        <v>86</v>
      </c>
      <c r="B14" s="34">
        <f>B12*B13/100</f>
        <v>4140</v>
      </c>
    </row>
    <row r="15" spans="1:5" ht="16.5" customHeight="1" x14ac:dyDescent="0.35">
      <c r="A15" s="15" t="s">
        <v>87</v>
      </c>
      <c r="B15" s="33">
        <v>0.05</v>
      </c>
    </row>
    <row r="16" spans="1:5" ht="16.5" customHeight="1" x14ac:dyDescent="0.35">
      <c r="A16" s="15" t="s">
        <v>88</v>
      </c>
      <c r="B16" s="33">
        <v>5.0000000000000001E-3</v>
      </c>
    </row>
    <row r="18" spans="1:5" ht="21.75" customHeight="1" x14ac:dyDescent="0.35">
      <c r="A18" s="17" t="s">
        <v>89</v>
      </c>
      <c r="B18" s="17"/>
      <c r="C18" s="17"/>
      <c r="D18" s="17"/>
      <c r="E18" s="17"/>
    </row>
    <row r="19" spans="1:5" ht="18" customHeight="1" x14ac:dyDescent="0.35">
      <c r="A19" s="35" t="s">
        <v>90</v>
      </c>
      <c r="B19" s="36">
        <f>IF(B14=0,0,B9/B14)</f>
        <v>7.4879227053140101</v>
      </c>
      <c r="C19" s="27"/>
      <c r="D19" s="27"/>
      <c r="E19" s="27"/>
    </row>
    <row r="20" spans="1:5" ht="18" customHeight="1" x14ac:dyDescent="0.35">
      <c r="A20" s="35" t="s">
        <v>91</v>
      </c>
      <c r="B20" s="36">
        <f>B14*10-B9</f>
        <v>10400</v>
      </c>
      <c r="C20" s="27"/>
      <c r="D20" s="27"/>
      <c r="E20" s="27"/>
    </row>
    <row r="21" spans="1:5" ht="18" customHeight="1" x14ac:dyDescent="0.35">
      <c r="A21" s="35" t="s">
        <v>92</v>
      </c>
      <c r="B21" s="37">
        <f>B14*25*(1+B15/2)-B9</f>
        <v>75087.499999999985</v>
      </c>
      <c r="C21" s="27"/>
      <c r="D21" s="27"/>
      <c r="E21" s="27"/>
    </row>
    <row r="22" spans="1:5" ht="18" customHeight="1" x14ac:dyDescent="0.35">
      <c r="A22" s="35" t="s">
        <v>93</v>
      </c>
      <c r="B22" s="38">
        <f>IF(B9=0,0,B14/B9)</f>
        <v>0.13354838709677419</v>
      </c>
      <c r="C22" s="27"/>
      <c r="D22" s="27"/>
      <c r="E22" s="27"/>
    </row>
    <row r="23" spans="1:5" ht="18" customHeight="1" x14ac:dyDescent="0.35">
      <c r="A23" s="35" t="s">
        <v>94</v>
      </c>
      <c r="B23" s="37">
        <f>B14/12</f>
        <v>345</v>
      </c>
      <c r="C23" s="27"/>
      <c r="D23" s="27"/>
      <c r="E23" s="27"/>
    </row>
    <row r="24" spans="1:5" ht="25.5" customHeight="1" x14ac:dyDescent="0.35">
      <c r="A24" s="39" t="str">
        <f>IF(B9=0,"أدخل البيانات",IF(B14=0,"أدخل التوفير السنوي",IF(B9/B14&lt;=5,"✅ استثمار ممتاز – الاسترداد "&amp;TEXT(B9/B14,"0.0")&amp;" سنوات",IF(B9/B14&lt;=8,"👍 استثمار جيد – الاسترداد "&amp;TEXT(B9/B14,"0.0")&amp;" سنوات","⚠️ راجع العروض – الاسترداد "&amp;TEXT(B9/B14,"0.0")&amp;" سنوات"))))</f>
        <v>👍 استثمار جيد – الاسترداد 7.5 سنوات</v>
      </c>
      <c r="B24" s="39"/>
      <c r="C24" s="39"/>
      <c r="D24" s="39"/>
      <c r="E24" s="39"/>
    </row>
    <row r="25" spans="1:5" x14ac:dyDescent="0.35">
      <c r="A25" s="39"/>
      <c r="B25" s="39"/>
      <c r="C25" s="39"/>
      <c r="D25" s="39"/>
      <c r="E25" s="39"/>
    </row>
    <row r="27" spans="1:5" x14ac:dyDescent="0.35">
      <c r="A27" s="19" t="s">
        <v>43</v>
      </c>
    </row>
    <row r="28" spans="1:5" ht="12.75" customHeight="1" x14ac:dyDescent="0.35">
      <c r="A28" s="20" t="s">
        <v>44</v>
      </c>
    </row>
    <row r="29" spans="1:5" ht="12.75" customHeight="1" x14ac:dyDescent="0.35">
      <c r="A29" s="21" t="s">
        <v>45</v>
      </c>
    </row>
    <row r="30" spans="1:5" ht="12.75" customHeight="1" x14ac:dyDescent="0.35">
      <c r="A30" s="22" t="s">
        <v>46</v>
      </c>
    </row>
    <row r="31" spans="1:5" ht="12.75" customHeight="1" x14ac:dyDescent="0.35">
      <c r="A31" s="23" t="s">
        <v>47</v>
      </c>
    </row>
  </sheetData>
  <mergeCells count="5">
    <mergeCell ref="A1:E1"/>
    <mergeCell ref="A3:E3"/>
    <mergeCell ref="A11:E11"/>
    <mergeCell ref="A18:E18"/>
    <mergeCell ref="A24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rightToLeft="1" zoomScale="64" zoomScaleNormal="100" workbookViewId="0">
      <selection activeCell="B7" sqref="B7:G31"/>
    </sheetView>
  </sheetViews>
  <sheetFormatPr defaultColWidth="8.6328125" defaultRowHeight="14.5" x14ac:dyDescent="0.35"/>
  <cols>
    <col min="1" max="1" width="8" style="7" customWidth="1"/>
    <col min="2" max="2" width="18" style="7" customWidth="1"/>
    <col min="3" max="4" width="20" style="7" customWidth="1"/>
    <col min="5" max="5" width="14" style="7" customWidth="1"/>
    <col min="6" max="6" width="18" style="7" customWidth="1"/>
    <col min="7" max="7" width="24" style="7" customWidth="1"/>
    <col min="8" max="16384" width="8.6328125" style="7"/>
  </cols>
  <sheetData>
    <row r="1" spans="1:7" ht="27.75" customHeight="1" x14ac:dyDescent="0.35">
      <c r="A1" s="6" t="s">
        <v>95</v>
      </c>
      <c r="B1" s="6"/>
      <c r="C1" s="6"/>
      <c r="D1" s="6"/>
      <c r="E1" s="6"/>
      <c r="F1" s="6"/>
      <c r="G1" s="6"/>
    </row>
    <row r="3" spans="1:7" ht="16.5" customHeight="1" x14ac:dyDescent="0.35">
      <c r="A3" s="15" t="s">
        <v>96</v>
      </c>
      <c r="B3" s="12">
        <v>4140</v>
      </c>
      <c r="D3" s="15" t="s">
        <v>97</v>
      </c>
      <c r="E3" s="33">
        <v>0.05</v>
      </c>
    </row>
    <row r="4" spans="1:7" ht="16.5" customHeight="1" x14ac:dyDescent="0.35">
      <c r="A4" s="15" t="s">
        <v>98</v>
      </c>
      <c r="B4" s="12">
        <v>31000</v>
      </c>
      <c r="D4" s="15" t="s">
        <v>99</v>
      </c>
      <c r="E4" s="33">
        <v>5.0000000000000001E-3</v>
      </c>
    </row>
    <row r="6" spans="1:7" ht="21.75" customHeight="1" x14ac:dyDescent="0.3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  <c r="G6" s="10" t="s">
        <v>106</v>
      </c>
    </row>
    <row r="7" spans="1:7" ht="13.5" customHeight="1" x14ac:dyDescent="0.35">
      <c r="A7" s="40">
        <v>1</v>
      </c>
      <c r="B7" s="34">
        <f>$B$3*(1+$E$3)^0*(1-$E$4)^0</f>
        <v>4140</v>
      </c>
      <c r="C7" s="34">
        <f>SUM(B7:B7)</f>
        <v>4140</v>
      </c>
      <c r="D7" s="34">
        <f t="shared" ref="D7:D31" si="0">C7-$B$4</f>
        <v>-26860</v>
      </c>
      <c r="E7" s="46">
        <f>(1-$E$4)^0</f>
        <v>1</v>
      </c>
      <c r="F7" s="26">
        <f t="shared" ref="F7:F31" si="1">B7/1000*0.5</f>
        <v>2.0699999999999998</v>
      </c>
      <c r="G7" s="47" t="str">
        <f t="shared" ref="G7:G31" si="2">IF(D7&lt;0,"⏳ قبل الاسترداد","✅ ربح: "&amp;TEXT(D7,"#,##0")&amp;" ريال")</f>
        <v>⏳ قبل الاسترداد</v>
      </c>
    </row>
    <row r="8" spans="1:7" ht="13.5" customHeight="1" x14ac:dyDescent="0.35">
      <c r="A8" s="41">
        <v>2</v>
      </c>
      <c r="B8" s="34">
        <f>$B$3*(1+$E$3)^1*(1-$E$4)^1</f>
        <v>4325.2650000000003</v>
      </c>
      <c r="C8" s="34">
        <f>SUM(B7:B8)</f>
        <v>8465.2649999999994</v>
      </c>
      <c r="D8" s="34">
        <f t="shared" si="0"/>
        <v>-22534.735000000001</v>
      </c>
      <c r="E8" s="46">
        <f>(1-$E$4)^1</f>
        <v>0.995</v>
      </c>
      <c r="F8" s="26">
        <f t="shared" si="1"/>
        <v>2.1626325</v>
      </c>
      <c r="G8" s="47" t="str">
        <f t="shared" si="2"/>
        <v>⏳ قبل الاسترداد</v>
      </c>
    </row>
    <row r="9" spans="1:7" ht="13.5" customHeight="1" x14ac:dyDescent="0.35">
      <c r="A9" s="40">
        <v>3</v>
      </c>
      <c r="B9" s="34">
        <f>$B$3*(1+$E$3)^2*(1-$E$4)^2</f>
        <v>4518.8206087500002</v>
      </c>
      <c r="C9" s="34">
        <f>SUM(B7:B9)</f>
        <v>12984.08560875</v>
      </c>
      <c r="D9" s="34">
        <f t="shared" si="0"/>
        <v>-18015.91439125</v>
      </c>
      <c r="E9" s="46">
        <f>(1-$E$4)^2</f>
        <v>0.99002500000000004</v>
      </c>
      <c r="F9" s="26">
        <f t="shared" si="1"/>
        <v>2.2594103043750002</v>
      </c>
      <c r="G9" s="47" t="str">
        <f t="shared" si="2"/>
        <v>⏳ قبل الاسترداد</v>
      </c>
    </row>
    <row r="10" spans="1:7" ht="13.5" customHeight="1" x14ac:dyDescent="0.35">
      <c r="A10" s="41">
        <v>4</v>
      </c>
      <c r="B10" s="34">
        <f>$B$3*(1+$E$3)^3*(1-$E$4)^3</f>
        <v>4721.0378309915623</v>
      </c>
      <c r="C10" s="34">
        <f>SUM(B7:B10)</f>
        <v>17705.123439741561</v>
      </c>
      <c r="D10" s="34">
        <f t="shared" si="0"/>
        <v>-13294.876560258439</v>
      </c>
      <c r="E10" s="46">
        <f>(1-$E$4)^3</f>
        <v>0.98507487500000002</v>
      </c>
      <c r="F10" s="26">
        <f t="shared" si="1"/>
        <v>2.3605189154957813</v>
      </c>
      <c r="G10" s="47" t="str">
        <f t="shared" si="2"/>
        <v>⏳ قبل الاسترداد</v>
      </c>
    </row>
    <row r="11" spans="1:7" ht="13.5" customHeight="1" x14ac:dyDescent="0.35">
      <c r="A11" s="40">
        <v>5</v>
      </c>
      <c r="B11" s="34">
        <f>$B$3*(1+$E$3)^4*(1-$E$4)^4</f>
        <v>4932.3042739284356</v>
      </c>
      <c r="C11" s="34">
        <f>SUM(B7:B11)</f>
        <v>22637.427713669997</v>
      </c>
      <c r="D11" s="34">
        <f t="shared" si="0"/>
        <v>-8362.5722863300034</v>
      </c>
      <c r="E11" s="46">
        <f>(1-$E$4)^4</f>
        <v>0.98014950062500006</v>
      </c>
      <c r="F11" s="26">
        <f t="shared" si="1"/>
        <v>2.4661521369642179</v>
      </c>
      <c r="G11" s="47" t="str">
        <f t="shared" si="2"/>
        <v>⏳ قبل الاسترداد</v>
      </c>
    </row>
    <row r="12" spans="1:7" ht="13.5" customHeight="1" x14ac:dyDescent="0.35">
      <c r="A12" s="41">
        <v>6</v>
      </c>
      <c r="B12" s="34">
        <f>$B$3*(1+$E$3)^5*(1-$E$4)^5</f>
        <v>5153.0248901867335</v>
      </c>
      <c r="C12" s="34">
        <f>SUM(B7:B12)</f>
        <v>27790.452603856731</v>
      </c>
      <c r="D12" s="34">
        <f t="shared" si="0"/>
        <v>-3209.547396143269</v>
      </c>
      <c r="E12" s="46">
        <f>(1-$E$4)^5</f>
        <v>0.97524875312187509</v>
      </c>
      <c r="F12" s="26">
        <f t="shared" si="1"/>
        <v>2.5765124450933667</v>
      </c>
      <c r="G12" s="47" t="str">
        <f t="shared" si="2"/>
        <v>⏳ قبل الاسترداد</v>
      </c>
    </row>
    <row r="13" spans="1:7" ht="13.5" customHeight="1" x14ac:dyDescent="0.35">
      <c r="A13" s="40">
        <v>7</v>
      </c>
      <c r="B13" s="34">
        <f>$B$3*(1+$E$3)^6*(1-$E$4)^6</f>
        <v>5383.6227540225891</v>
      </c>
      <c r="C13" s="34">
        <f>SUM(B7:B13)</f>
        <v>33174.075357879323</v>
      </c>
      <c r="D13" s="34">
        <f t="shared" si="0"/>
        <v>2174.0753578793228</v>
      </c>
      <c r="E13" s="46">
        <f>(1-$E$4)^6</f>
        <v>0.97037250935626573</v>
      </c>
      <c r="F13" s="26">
        <f t="shared" si="1"/>
        <v>2.6918113770112946</v>
      </c>
      <c r="G13" s="47" t="str">
        <f t="shared" si="2"/>
        <v>✅ ربح: 2,174 ريال</v>
      </c>
    </row>
    <row r="14" spans="1:7" ht="13.5" customHeight="1" x14ac:dyDescent="0.35">
      <c r="A14" s="41">
        <v>8</v>
      </c>
      <c r="B14" s="34">
        <f>$B$3*(1+$E$3)^7*(1-$E$4)^7</f>
        <v>5624.5398722651007</v>
      </c>
      <c r="C14" s="34">
        <f>SUM(B7:B14)</f>
        <v>38798.615230144424</v>
      </c>
      <c r="D14" s="34">
        <f t="shared" si="0"/>
        <v>7798.6152301444235</v>
      </c>
      <c r="E14" s="46">
        <f>(1-$E$4)^7</f>
        <v>0.96552064680948435</v>
      </c>
      <c r="F14" s="26">
        <f t="shared" si="1"/>
        <v>2.8122699361325503</v>
      </c>
      <c r="G14" s="48" t="str">
        <f t="shared" si="2"/>
        <v>✅ ربح: 7,799 ريال</v>
      </c>
    </row>
    <row r="15" spans="1:7" ht="13.5" customHeight="1" x14ac:dyDescent="0.35">
      <c r="A15" s="40">
        <v>9</v>
      </c>
      <c r="B15" s="34">
        <f>$B$3*(1+$E$3)^8*(1-$E$4)^8</f>
        <v>5876.2380315489636</v>
      </c>
      <c r="C15" s="34">
        <f>SUM(B7:B15)</f>
        <v>44674.853261693388</v>
      </c>
      <c r="D15" s="34">
        <f t="shared" si="0"/>
        <v>13674.853261693388</v>
      </c>
      <c r="E15" s="46">
        <f>(1-$E$4)^8</f>
        <v>0.96069304357543694</v>
      </c>
      <c r="F15" s="26">
        <f t="shared" si="1"/>
        <v>2.9381190157744816</v>
      </c>
      <c r="G15" s="48" t="str">
        <f t="shared" si="2"/>
        <v>✅ ربح: 13,675 ريال</v>
      </c>
    </row>
    <row r="16" spans="1:7" ht="13.5" customHeight="1" x14ac:dyDescent="0.35">
      <c r="A16" s="41">
        <v>10</v>
      </c>
      <c r="B16" s="34">
        <f>$B$3*(1+$E$3)^9*(1-$E$4)^9</f>
        <v>6139.1996834607799</v>
      </c>
      <c r="C16" s="34">
        <f>SUM(B7:B16)</f>
        <v>50814.052945154166</v>
      </c>
      <c r="D16" s="34">
        <f t="shared" si="0"/>
        <v>19814.052945154166</v>
      </c>
      <c r="E16" s="46">
        <f>(1-$E$4)^9</f>
        <v>0.95588957835755972</v>
      </c>
      <c r="F16" s="26">
        <f t="shared" si="1"/>
        <v>3.06959984173039</v>
      </c>
      <c r="G16" s="48" t="str">
        <f t="shared" si="2"/>
        <v>✅ ربح: 19,814 ريال</v>
      </c>
    </row>
    <row r="17" spans="1:7" ht="13.5" customHeight="1" x14ac:dyDescent="0.35">
      <c r="A17" s="40">
        <v>11</v>
      </c>
      <c r="B17" s="34">
        <f>$B$3*(1+$E$3)^10*(1-$E$4)^10</f>
        <v>6413.9288692956497</v>
      </c>
      <c r="C17" s="34">
        <f>SUM(B7:B17)</f>
        <v>57227.981814449813</v>
      </c>
      <c r="D17" s="34">
        <f t="shared" si="0"/>
        <v>26227.981814449813</v>
      </c>
      <c r="E17" s="46">
        <f>(1-$E$4)^10</f>
        <v>0.95111013046577197</v>
      </c>
      <c r="F17" s="26">
        <f t="shared" si="1"/>
        <v>3.206964434647825</v>
      </c>
      <c r="G17" s="48" t="str">
        <f t="shared" si="2"/>
        <v>✅ ربح: 26,228 ريال</v>
      </c>
    </row>
    <row r="18" spans="1:7" ht="13.5" customHeight="1" x14ac:dyDescent="0.35">
      <c r="A18" s="41">
        <v>12</v>
      </c>
      <c r="B18" s="34">
        <f>$B$3*(1+$E$3)^11*(1-$E$4)^11</f>
        <v>6700.9521861966296</v>
      </c>
      <c r="C18" s="34">
        <f>SUM(B7:B18)</f>
        <v>63928.934000646441</v>
      </c>
      <c r="D18" s="34">
        <f t="shared" si="0"/>
        <v>32928.934000646441</v>
      </c>
      <c r="E18" s="46">
        <f>(1-$E$4)^11</f>
        <v>0.94635457981344306</v>
      </c>
      <c r="F18" s="26">
        <f t="shared" si="1"/>
        <v>3.3504760930983148</v>
      </c>
      <c r="G18" s="48" t="str">
        <f t="shared" si="2"/>
        <v>✅ ربح: 32,929 ريال</v>
      </c>
    </row>
    <row r="19" spans="1:7" ht="13.5" customHeight="1" x14ac:dyDescent="0.35">
      <c r="A19" s="40">
        <v>13</v>
      </c>
      <c r="B19" s="34">
        <f>$B$3*(1+$E$3)^12*(1-$E$4)^12</f>
        <v>7000.8197965289291</v>
      </c>
      <c r="C19" s="34">
        <f>SUM(B7:B19)</f>
        <v>70929.753797175363</v>
      </c>
      <c r="D19" s="34">
        <f t="shared" si="0"/>
        <v>39929.753797175363</v>
      </c>
      <c r="E19" s="46">
        <f>(1-$E$4)^12</f>
        <v>0.94162280691437594</v>
      </c>
      <c r="F19" s="26">
        <f t="shared" si="1"/>
        <v>3.5004098982644645</v>
      </c>
      <c r="G19" s="48" t="str">
        <f t="shared" si="2"/>
        <v>✅ ربح: 39,930 ريال</v>
      </c>
    </row>
    <row r="20" spans="1:7" ht="13.5" customHeight="1" x14ac:dyDescent="0.35">
      <c r="A20" s="41">
        <v>14</v>
      </c>
      <c r="B20" s="34">
        <f>$B$3*(1+$E$3)^13*(1-$E$4)^13</f>
        <v>7314.1064824236009</v>
      </c>
      <c r="C20" s="34">
        <f>SUM(B7:B20)</f>
        <v>78243.860279598957</v>
      </c>
      <c r="D20" s="34">
        <f t="shared" si="0"/>
        <v>47243.860279598957</v>
      </c>
      <c r="E20" s="46">
        <f>(1-$E$4)^13</f>
        <v>0.93691469287980411</v>
      </c>
      <c r="F20" s="26">
        <f t="shared" si="1"/>
        <v>3.6570532412118006</v>
      </c>
      <c r="G20" s="48" t="str">
        <f t="shared" si="2"/>
        <v>✅ ربح: 47,244 ريال</v>
      </c>
    </row>
    <row r="21" spans="1:7" ht="13.5" customHeight="1" x14ac:dyDescent="0.35">
      <c r="A21" s="40">
        <v>15</v>
      </c>
      <c r="B21" s="34">
        <f>$B$3*(1+$E$3)^14*(1-$E$4)^14</f>
        <v>7641.4127475120558</v>
      </c>
      <c r="C21" s="34">
        <f>SUM(B7:B21)</f>
        <v>85885.273027111019</v>
      </c>
      <c r="D21" s="34">
        <f t="shared" si="0"/>
        <v>54885.273027111019</v>
      </c>
      <c r="E21" s="46">
        <f>(1-$E$4)^14</f>
        <v>0.93223011941540512</v>
      </c>
      <c r="F21" s="26">
        <f t="shared" si="1"/>
        <v>3.8207063737560278</v>
      </c>
      <c r="G21" s="48" t="str">
        <f t="shared" si="2"/>
        <v>✅ ربح: 54,885 ريال</v>
      </c>
    </row>
    <row r="22" spans="1:7" ht="13.5" customHeight="1" x14ac:dyDescent="0.35">
      <c r="A22" s="41">
        <v>16</v>
      </c>
      <c r="B22" s="34">
        <f>$B$3*(1+$E$3)^15*(1-$E$4)^15</f>
        <v>7983.3659679632219</v>
      </c>
      <c r="C22" s="34">
        <f>SUM(B7:B22)</f>
        <v>93868.638995074245</v>
      </c>
      <c r="D22" s="34">
        <f t="shared" si="0"/>
        <v>62868.638995074245</v>
      </c>
      <c r="E22" s="46">
        <f>(1-$E$4)^15</f>
        <v>0.92756896881832807</v>
      </c>
      <c r="F22" s="26">
        <f t="shared" si="1"/>
        <v>3.9916829839816108</v>
      </c>
      <c r="G22" s="48" t="str">
        <f t="shared" si="2"/>
        <v>✅ ربح: 62,869 ريال</v>
      </c>
    </row>
    <row r="23" spans="1:7" ht="13.5" customHeight="1" x14ac:dyDescent="0.35">
      <c r="A23" s="40">
        <v>17</v>
      </c>
      <c r="B23" s="34">
        <f>$B$3*(1+$E$3)^16*(1-$E$4)^16</f>
        <v>8340.6215950295737</v>
      </c>
      <c r="C23" s="34">
        <f>SUM(B7:B23)</f>
        <v>102209.26059010382</v>
      </c>
      <c r="D23" s="34">
        <f t="shared" si="0"/>
        <v>71209.260590103819</v>
      </c>
      <c r="E23" s="46">
        <f>(1-$E$4)^16</f>
        <v>0.92293112397423638</v>
      </c>
      <c r="F23" s="26">
        <f t="shared" si="1"/>
        <v>4.1703107975147864</v>
      </c>
      <c r="G23" s="48" t="str">
        <f t="shared" si="2"/>
        <v>✅ ربح: 71,209 ريال</v>
      </c>
    </row>
    <row r="24" spans="1:7" ht="13.5" customHeight="1" x14ac:dyDescent="0.35">
      <c r="A24" s="41">
        <v>18</v>
      </c>
      <c r="B24" s="34">
        <f>$B$3*(1+$E$3)^17*(1-$E$4)^17</f>
        <v>8713.8644114071485</v>
      </c>
      <c r="C24" s="34">
        <f>SUM(B7:B24)</f>
        <v>110923.12500151097</v>
      </c>
      <c r="D24" s="34">
        <f t="shared" si="0"/>
        <v>79923.125001510969</v>
      </c>
      <c r="E24" s="46">
        <f>(1-$E$4)^17</f>
        <v>0.9183164683543652</v>
      </c>
      <c r="F24" s="26">
        <f t="shared" si="1"/>
        <v>4.3569322057035746</v>
      </c>
      <c r="G24" s="48" t="str">
        <f t="shared" si="2"/>
        <v>✅ ربح: 79,923 ريال</v>
      </c>
    </row>
    <row r="25" spans="1:7" ht="13.5" customHeight="1" x14ac:dyDescent="0.35">
      <c r="A25" s="40">
        <v>19</v>
      </c>
      <c r="B25" s="34">
        <f>$B$3*(1+$E$3)^18*(1-$E$4)^18</f>
        <v>9103.8098438176203</v>
      </c>
      <c r="C25" s="34">
        <f>SUM(B7:B25)</f>
        <v>120026.93484532859</v>
      </c>
      <c r="D25" s="34">
        <f t="shared" si="0"/>
        <v>89026.934845328593</v>
      </c>
      <c r="E25" s="46">
        <f>(1-$E$4)^18</f>
        <v>0.91372488601259338</v>
      </c>
      <c r="F25" s="26">
        <f t="shared" si="1"/>
        <v>4.5519049219088101</v>
      </c>
      <c r="G25" s="48" t="str">
        <f t="shared" si="2"/>
        <v>✅ ربح: 89,027 ريال</v>
      </c>
    </row>
    <row r="26" spans="1:7" ht="13.5" customHeight="1" x14ac:dyDescent="0.35">
      <c r="A26" s="41">
        <v>20</v>
      </c>
      <c r="B26" s="34">
        <f>$B$3*(1+$E$3)^19*(1-$E$4)^19</f>
        <v>9511.2053343284588</v>
      </c>
      <c r="C26" s="34">
        <f>SUM(B7:B26)</f>
        <v>129538.14017965706</v>
      </c>
      <c r="D26" s="34">
        <f t="shared" si="0"/>
        <v>98538.140179657057</v>
      </c>
      <c r="E26" s="46">
        <f>(1-$E$4)^19</f>
        <v>0.90915626158253038</v>
      </c>
      <c r="F26" s="26">
        <f t="shared" si="1"/>
        <v>4.7556026671642293</v>
      </c>
      <c r="G26" s="48" t="str">
        <f t="shared" si="2"/>
        <v>✅ ربح: 98,538 ريال</v>
      </c>
    </row>
    <row r="27" spans="1:7" ht="13.5" customHeight="1" x14ac:dyDescent="0.35">
      <c r="A27" s="40" t="s">
        <v>43</v>
      </c>
      <c r="B27" s="34">
        <f>$B$3*(1+$E$3)^20*(1-$E$4)^20</f>
        <v>9936.8317730396557</v>
      </c>
      <c r="C27" s="34">
        <f>SUM(B7:B27)</f>
        <v>139474.97195269671</v>
      </c>
      <c r="D27" s="34">
        <f t="shared" si="0"/>
        <v>108474.97195269671</v>
      </c>
      <c r="E27" s="46">
        <f>(1-$E$4)^20</f>
        <v>0.90461048027461777</v>
      </c>
      <c r="F27" s="26">
        <f t="shared" si="1"/>
        <v>4.9684158865198276</v>
      </c>
      <c r="G27" s="48" t="str">
        <f t="shared" si="2"/>
        <v>✅ ربح: 108,475 ريال</v>
      </c>
    </row>
    <row r="28" spans="1:7" ht="12.75" customHeight="1" x14ac:dyDescent="0.35">
      <c r="A28" s="42" t="s">
        <v>44</v>
      </c>
      <c r="B28" s="34">
        <f>$B$3*(1+$E$3)^21*(1-$E$4)^21</f>
        <v>10381.50499488318</v>
      </c>
      <c r="C28" s="34">
        <f>SUM(B7:B28)</f>
        <v>149856.47694757988</v>
      </c>
      <c r="D28" s="34">
        <f t="shared" si="0"/>
        <v>118856.47694757988</v>
      </c>
      <c r="E28" s="46">
        <f>(1-$E$4)^21</f>
        <v>0.90008742787324469</v>
      </c>
      <c r="F28" s="26">
        <f t="shared" si="1"/>
        <v>5.19075249744159</v>
      </c>
      <c r="G28" s="48" t="str">
        <f t="shared" si="2"/>
        <v>✅ ربح: 118,856 ريال</v>
      </c>
    </row>
    <row r="29" spans="1:7" ht="12.75" customHeight="1" x14ac:dyDescent="0.35">
      <c r="A29" s="43" t="s">
        <v>45</v>
      </c>
      <c r="B29" s="34">
        <f>$B$3*(1+$E$3)^22*(1-$E$4)^22</f>
        <v>10846.077343404202</v>
      </c>
      <c r="C29" s="34">
        <f>SUM(B7:B29)</f>
        <v>160702.55429098409</v>
      </c>
      <c r="D29" s="34">
        <f t="shared" si="0"/>
        <v>129702.55429098409</v>
      </c>
      <c r="E29" s="46">
        <f>(1-$E$4)^22</f>
        <v>0.89558699073387849</v>
      </c>
      <c r="F29" s="26">
        <f t="shared" si="1"/>
        <v>5.4230386717021011</v>
      </c>
      <c r="G29" s="48" t="str">
        <f t="shared" si="2"/>
        <v>✅ ربح: 129,703 ريال</v>
      </c>
    </row>
    <row r="30" spans="1:7" ht="12.75" customHeight="1" x14ac:dyDescent="0.35">
      <c r="A30" s="44" t="s">
        <v>46</v>
      </c>
      <c r="B30" s="34">
        <f>$B$3*(1+$E$3)^23*(1-$E$4)^23</f>
        <v>11331.439304521542</v>
      </c>
      <c r="C30" s="34">
        <f>SUM(B7:B30)</f>
        <v>172033.99359550563</v>
      </c>
      <c r="D30" s="34">
        <f t="shared" si="0"/>
        <v>141033.99359550563</v>
      </c>
      <c r="E30" s="46">
        <f>(1-$E$4)^23</f>
        <v>0.89110905578020905</v>
      </c>
      <c r="F30" s="26">
        <f t="shared" si="1"/>
        <v>5.6657196522607709</v>
      </c>
      <c r="G30" s="48" t="str">
        <f t="shared" si="2"/>
        <v>✅ ربح: 141,034 ريال</v>
      </c>
    </row>
    <row r="31" spans="1:7" ht="12.75" customHeight="1" x14ac:dyDescent="0.35">
      <c r="A31" s="45" t="s">
        <v>47</v>
      </c>
      <c r="B31" s="34">
        <f>$B$3*(1+$E$3)^24*(1-$E$4)^24</f>
        <v>11838.521213398881</v>
      </c>
      <c r="C31" s="34">
        <f>SUM(B7:B31)</f>
        <v>183872.5148089045</v>
      </c>
      <c r="D31" s="34">
        <f t="shared" si="0"/>
        <v>152872.5148089045</v>
      </c>
      <c r="E31" s="46">
        <f>(1-$E$4)^24</f>
        <v>0.88665351050130803</v>
      </c>
      <c r="F31" s="26">
        <f t="shared" si="1"/>
        <v>5.9192606066994404</v>
      </c>
      <c r="G31" s="48" t="str">
        <f t="shared" si="2"/>
        <v>✅ ربح: 152,873 ريال</v>
      </c>
    </row>
  </sheetData>
  <sheetProtection algorithmName="SHA-512" hashValue="5o2DMeXG5EGj67hJTxqBK2yNy57qBRCWB1y+LyUEPezXWER7O4B2WNi2vod12/DXT3dc71YdwfzhTUuax4GKsA==" saltValue="mZeEY16r1KgyFdUbh8Z9rA==" spinCount="100000"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rightToLeft="1" tabSelected="1" zoomScaleNormal="100" workbookViewId="0">
      <selection activeCell="G5" sqref="G5:G14"/>
    </sheetView>
  </sheetViews>
  <sheetFormatPr defaultColWidth="8.6328125" defaultRowHeight="14.5" x14ac:dyDescent="0.35"/>
  <cols>
    <col min="1" max="1" width="22" style="7" customWidth="1"/>
    <col min="2" max="2" width="8" style="7" customWidth="1"/>
    <col min="3" max="3" width="14" style="7" customWidth="1"/>
    <col min="4" max="4" width="12" style="7" customWidth="1"/>
    <col min="5" max="6" width="18" style="7" customWidth="1"/>
    <col min="7" max="7" width="14" style="7" customWidth="1"/>
    <col min="8" max="16384" width="8.6328125" style="7"/>
  </cols>
  <sheetData>
    <row r="1" spans="1:7" ht="27.75" customHeight="1" x14ac:dyDescent="0.35">
      <c r="A1" s="6" t="s">
        <v>107</v>
      </c>
      <c r="B1" s="6"/>
      <c r="C1" s="6"/>
      <c r="D1" s="6"/>
      <c r="E1" s="6"/>
      <c r="F1" s="6"/>
      <c r="G1" s="6"/>
    </row>
    <row r="2" spans="1:7" ht="15" customHeight="1" x14ac:dyDescent="0.35">
      <c r="A2" s="8" t="s">
        <v>108</v>
      </c>
      <c r="B2" s="8"/>
      <c r="C2" s="8"/>
      <c r="D2" s="8"/>
      <c r="E2" s="8"/>
      <c r="F2" s="8"/>
      <c r="G2" s="8"/>
    </row>
    <row r="3" spans="1:7" ht="16.5" customHeight="1" x14ac:dyDescent="0.35">
      <c r="E3" s="15" t="s">
        <v>20</v>
      </c>
      <c r="F3" s="12">
        <v>18</v>
      </c>
    </row>
    <row r="4" spans="1:7" ht="21.75" customHeight="1" x14ac:dyDescent="0.35">
      <c r="A4" s="10" t="s">
        <v>109</v>
      </c>
      <c r="B4" s="10" t="s">
        <v>110</v>
      </c>
      <c r="C4" s="10" t="s">
        <v>111</v>
      </c>
      <c r="D4" s="10" t="s">
        <v>112</v>
      </c>
      <c r="E4" s="10" t="s">
        <v>113</v>
      </c>
      <c r="F4" s="10" t="s">
        <v>114</v>
      </c>
      <c r="G4" s="10" t="s">
        <v>115</v>
      </c>
    </row>
    <row r="5" spans="1:7" ht="15.75" customHeight="1" x14ac:dyDescent="0.35">
      <c r="A5" s="11" t="s">
        <v>116</v>
      </c>
      <c r="B5" s="49">
        <v>3</v>
      </c>
      <c r="C5" s="12">
        <v>2200</v>
      </c>
      <c r="D5" s="13">
        <v>10</v>
      </c>
      <c r="E5" s="51">
        <f t="shared" ref="E5:E14" si="0">B5*C5*D5/1000</f>
        <v>66</v>
      </c>
      <c r="F5" s="26">
        <f t="shared" ref="F5:F14" si="1">E5*30*F$3/100</f>
        <v>356.4</v>
      </c>
      <c r="G5" s="46">
        <f t="shared" ref="G5:G14" si="2">IF(SUM(E$5:E$14)=0,0,E5/SUM(E$5:E$14))</f>
        <v>0.77922077922077937</v>
      </c>
    </row>
    <row r="6" spans="1:7" ht="15.75" customHeight="1" x14ac:dyDescent="0.35">
      <c r="A6" s="15" t="s">
        <v>117</v>
      </c>
      <c r="B6" s="49">
        <v>1</v>
      </c>
      <c r="C6" s="12">
        <v>200</v>
      </c>
      <c r="D6" s="13">
        <v>24</v>
      </c>
      <c r="E6" s="51">
        <f t="shared" si="0"/>
        <v>4.8</v>
      </c>
      <c r="F6" s="26">
        <f t="shared" si="1"/>
        <v>25.92</v>
      </c>
      <c r="G6" s="46">
        <f t="shared" si="2"/>
        <v>5.6670602125147587E-2</v>
      </c>
    </row>
    <row r="7" spans="1:7" ht="15.75" customHeight="1" x14ac:dyDescent="0.35">
      <c r="A7" s="11" t="s">
        <v>118</v>
      </c>
      <c r="B7" s="49">
        <v>1</v>
      </c>
      <c r="C7" s="12">
        <v>500</v>
      </c>
      <c r="D7" s="13">
        <v>1</v>
      </c>
      <c r="E7" s="51">
        <f t="shared" si="0"/>
        <v>0.5</v>
      </c>
      <c r="F7" s="26">
        <f t="shared" si="1"/>
        <v>2.7</v>
      </c>
      <c r="G7" s="46">
        <f t="shared" si="2"/>
        <v>5.9031877213695403E-3</v>
      </c>
    </row>
    <row r="8" spans="1:7" ht="15.75" customHeight="1" x14ac:dyDescent="0.35">
      <c r="A8" s="15" t="s">
        <v>119</v>
      </c>
      <c r="B8" s="49">
        <v>2</v>
      </c>
      <c r="C8" s="12">
        <v>150</v>
      </c>
      <c r="D8" s="13">
        <v>6</v>
      </c>
      <c r="E8" s="51">
        <f t="shared" si="0"/>
        <v>1.8</v>
      </c>
      <c r="F8" s="26">
        <f t="shared" si="1"/>
        <v>9.7200000000000006</v>
      </c>
      <c r="G8" s="46">
        <f t="shared" si="2"/>
        <v>2.1251475796930347E-2</v>
      </c>
    </row>
    <row r="9" spans="1:7" ht="15.75" customHeight="1" x14ac:dyDescent="0.35">
      <c r="A9" s="11" t="s">
        <v>120</v>
      </c>
      <c r="B9" s="49">
        <v>20</v>
      </c>
      <c r="C9" s="12">
        <v>10</v>
      </c>
      <c r="D9" s="13">
        <v>8</v>
      </c>
      <c r="E9" s="51">
        <f t="shared" si="0"/>
        <v>1.6</v>
      </c>
      <c r="F9" s="26">
        <f t="shared" si="1"/>
        <v>8.64</v>
      </c>
      <c r="G9" s="46">
        <f t="shared" si="2"/>
        <v>1.8890200708382529E-2</v>
      </c>
    </row>
    <row r="10" spans="1:7" ht="15.75" customHeight="1" x14ac:dyDescent="0.35">
      <c r="A10" s="15" t="s">
        <v>121</v>
      </c>
      <c r="B10" s="49">
        <v>1</v>
      </c>
      <c r="C10" s="12">
        <v>3000</v>
      </c>
      <c r="D10" s="13">
        <v>1.5</v>
      </c>
      <c r="E10" s="51">
        <f t="shared" si="0"/>
        <v>4.5</v>
      </c>
      <c r="F10" s="26">
        <f t="shared" si="1"/>
        <v>24.3</v>
      </c>
      <c r="G10" s="46">
        <f t="shared" si="2"/>
        <v>5.312868949232586E-2</v>
      </c>
    </row>
    <row r="11" spans="1:7" ht="15.75" customHeight="1" x14ac:dyDescent="0.35">
      <c r="A11" s="11" t="s">
        <v>122</v>
      </c>
      <c r="B11" s="49">
        <v>2</v>
      </c>
      <c r="C11" s="12">
        <v>100</v>
      </c>
      <c r="D11" s="13">
        <v>8</v>
      </c>
      <c r="E11" s="51">
        <f t="shared" si="0"/>
        <v>1.6</v>
      </c>
      <c r="F11" s="26">
        <f t="shared" si="1"/>
        <v>8.64</v>
      </c>
      <c r="G11" s="46">
        <f t="shared" si="2"/>
        <v>1.8890200708382529E-2</v>
      </c>
    </row>
    <row r="12" spans="1:7" ht="15.75" customHeight="1" x14ac:dyDescent="0.35">
      <c r="A12" s="15" t="s">
        <v>123</v>
      </c>
      <c r="B12" s="49">
        <v>1</v>
      </c>
      <c r="C12" s="12">
        <v>2000</v>
      </c>
      <c r="D12" s="13">
        <v>1</v>
      </c>
      <c r="E12" s="51">
        <f t="shared" si="0"/>
        <v>2</v>
      </c>
      <c r="F12" s="26">
        <f t="shared" si="1"/>
        <v>10.8</v>
      </c>
      <c r="G12" s="46">
        <f t="shared" si="2"/>
        <v>2.3612750885478161E-2</v>
      </c>
    </row>
    <row r="13" spans="1:7" ht="15.75" customHeight="1" x14ac:dyDescent="0.35">
      <c r="A13" s="11" t="s">
        <v>124</v>
      </c>
      <c r="B13" s="49">
        <v>1</v>
      </c>
      <c r="C13" s="12">
        <v>800</v>
      </c>
      <c r="D13" s="13">
        <v>0.5</v>
      </c>
      <c r="E13" s="51">
        <f t="shared" si="0"/>
        <v>0.4</v>
      </c>
      <c r="F13" s="26">
        <f t="shared" si="1"/>
        <v>2.16</v>
      </c>
      <c r="G13" s="46">
        <f t="shared" si="2"/>
        <v>4.7225501770956323E-3</v>
      </c>
    </row>
    <row r="14" spans="1:7" ht="15.75" customHeight="1" x14ac:dyDescent="0.35">
      <c r="A14" s="15" t="s">
        <v>125</v>
      </c>
      <c r="B14" s="49">
        <v>5</v>
      </c>
      <c r="C14" s="12">
        <v>50</v>
      </c>
      <c r="D14" s="13">
        <v>6</v>
      </c>
      <c r="E14" s="51">
        <f t="shared" si="0"/>
        <v>1.5</v>
      </c>
      <c r="F14" s="26">
        <f t="shared" si="1"/>
        <v>8.1</v>
      </c>
      <c r="G14" s="46">
        <f t="shared" si="2"/>
        <v>1.770956316410862E-2</v>
      </c>
    </row>
    <row r="15" spans="1:7" ht="19.5" customHeight="1" x14ac:dyDescent="0.35">
      <c r="A15" s="50" t="s">
        <v>126</v>
      </c>
      <c r="B15" s="50"/>
      <c r="C15" s="50"/>
      <c r="D15" s="50"/>
      <c r="E15" s="36">
        <f>SUM(E5:E14)</f>
        <v>84.699999999999989</v>
      </c>
      <c r="F15" s="37">
        <f>SUM(F5:F14)</f>
        <v>457.38000000000005</v>
      </c>
    </row>
    <row r="17" spans="1:1" x14ac:dyDescent="0.35">
      <c r="A17" s="19" t="s">
        <v>43</v>
      </c>
    </row>
    <row r="18" spans="1:1" ht="12.75" customHeight="1" x14ac:dyDescent="0.35">
      <c r="A18" s="20" t="s">
        <v>44</v>
      </c>
    </row>
    <row r="19" spans="1:1" ht="12.75" customHeight="1" x14ac:dyDescent="0.35">
      <c r="A19" s="21" t="s">
        <v>45</v>
      </c>
    </row>
    <row r="20" spans="1:1" ht="12.75" customHeight="1" x14ac:dyDescent="0.35">
      <c r="A20" s="22" t="s">
        <v>46</v>
      </c>
    </row>
    <row r="21" spans="1:1" ht="12.75" customHeight="1" x14ac:dyDescent="0.35">
      <c r="A21" s="23" t="s">
        <v>47</v>
      </c>
    </row>
  </sheetData>
  <sheetProtection algorithmName="SHA-512" hashValue="zKQBtOXhcMEnJ3e+cf+gXEFp80amPeGh9cqs/kkT9Q6aRh1MeiX5h5GpPc9uAD2W/wNmbATqRIEULG4s7W11kA==" saltValue="qKxJaPqZxyu+ZoAhd0jkUw==" spinCount="100000" sheet="1" objects="1" scenarios="1"/>
  <mergeCells count="3">
    <mergeCell ref="A1:G1"/>
    <mergeCell ref="A2:G2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تحليل الاستهلاك الحالي</vt:lpstr>
      <vt:lpstr>تصميم النظام الشمسي</vt:lpstr>
      <vt:lpstr>حساب العائد والاسترداد</vt:lpstr>
      <vt:lpstr>محاكاة 25 سنة</vt:lpstr>
      <vt:lpstr>تدقيق الأجهزة الكهربائية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2026-06-12T05:52:46Z</dcterms:created>
  <dcterms:modified xsi:type="dcterms:W3CDTF">2026-06-13T17:18:30Z</dcterms:modified>
  <dc:language>en-US</dc:language>
</cp:coreProperties>
</file>