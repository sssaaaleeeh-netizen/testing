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abdul\Downloads\"/>
    </mc:Choice>
  </mc:AlternateContent>
  <xr:revisionPtr revIDLastSave="0" documentId="13_ncr:1_{B8CFB652-A659-4E23-BB80-879EAE624D1D}" xr6:coauthVersionLast="47" xr6:coauthVersionMax="47" xr10:uidLastSave="{00000000-0000-0000-0000-000000000000}"/>
  <bookViews>
    <workbookView xWindow="-110" yWindow="-110" windowWidth="19420" windowHeight="10300" tabRatio="500" xr2:uid="{00000000-000D-0000-FFFF-FFFF00000000}"/>
  </bookViews>
  <sheets>
    <sheet name="الغلاف" sheetId="1" r:id="rId1"/>
    <sheet name="مقارنة عروض التمويل" sheetId="2" r:id="rId2"/>
    <sheet name="حاسبة التمويل الشخصي" sheetId="3" r:id="rId3"/>
    <sheet name="تمويل السيارة" sheetId="4" r:id="rId4"/>
    <sheet name="السداد المبكر" sheetId="5" r:id="rId5"/>
    <sheet name="جدول الأقساط" sheetId="6" r:id="rId6"/>
  </sheet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B6" i="6" l="1"/>
  <c r="D6" i="6" s="1"/>
  <c r="E3" i="6"/>
  <c r="B13" i="5"/>
  <c r="B12" i="5"/>
  <c r="B9" i="5"/>
  <c r="B14" i="5" s="1"/>
  <c r="E13" i="4"/>
  <c r="B13" i="4"/>
  <c r="E12" i="4"/>
  <c r="B12" i="4"/>
  <c r="B6" i="4"/>
  <c r="F6" i="4" s="1"/>
  <c r="E11" i="4" s="1"/>
  <c r="E14" i="4" s="1"/>
  <c r="B21" i="3"/>
  <c r="A22" i="3" s="1"/>
  <c r="B14" i="3"/>
  <c r="B11" i="3"/>
  <c r="B12" i="3" s="1"/>
  <c r="B13" i="3" s="1"/>
  <c r="B15" i="3" s="1"/>
  <c r="B16" i="3" s="1"/>
  <c r="E14" i="2"/>
  <c r="F14" i="2" s="1"/>
  <c r="F13" i="2"/>
  <c r="G13" i="2" s="1"/>
  <c r="E13" i="2"/>
  <c r="E12" i="2"/>
  <c r="F12" i="2" s="1"/>
  <c r="E11" i="2"/>
  <c r="F11" i="2" s="1"/>
  <c r="E10" i="2"/>
  <c r="F10" i="2" s="1"/>
  <c r="E9" i="2"/>
  <c r="F9" i="2" s="1"/>
  <c r="A17" i="2" l="1"/>
  <c r="I9" i="2"/>
  <c r="G9" i="2"/>
  <c r="H9" i="2"/>
  <c r="B16" i="5"/>
  <c r="B17" i="5" s="1"/>
  <c r="H14" i="2"/>
  <c r="G14" i="2"/>
  <c r="I14" i="2"/>
  <c r="I10" i="2"/>
  <c r="H10" i="2"/>
  <c r="G10" i="2"/>
  <c r="I11" i="2"/>
  <c r="G11" i="2"/>
  <c r="H11" i="2"/>
  <c r="I12" i="2"/>
  <c r="H12" i="2"/>
  <c r="G12" i="2"/>
  <c r="H13" i="2"/>
  <c r="B15" i="5"/>
  <c r="I13" i="2"/>
  <c r="E6" i="4"/>
  <c r="B11" i="4" s="1"/>
  <c r="B14" i="4" s="1"/>
  <c r="A15" i="4" s="1"/>
  <c r="C6" i="6"/>
  <c r="E6" i="6" s="1"/>
  <c r="F6" i="6" s="1"/>
  <c r="B7" i="6" s="1"/>
  <c r="D7" i="6" l="1"/>
  <c r="C7" i="6"/>
  <c r="E7" i="6" s="1"/>
  <c r="F7" i="6" s="1"/>
  <c r="B8" i="6" s="1"/>
  <c r="C8" i="6" l="1"/>
  <c r="D8" i="6"/>
  <c r="E8" i="6" l="1"/>
  <c r="F8" i="6" s="1"/>
  <c r="B9" i="6" s="1"/>
  <c r="D9" i="6" l="1"/>
  <c r="C9" i="6"/>
  <c r="E9" i="6" s="1"/>
  <c r="F9" i="6" s="1"/>
  <c r="B10" i="6" s="1"/>
  <c r="D10" i="6" l="1"/>
  <c r="C10" i="6"/>
  <c r="E10" i="6" s="1"/>
  <c r="F10" i="6" s="1"/>
  <c r="B11" i="6" s="1"/>
  <c r="D11" i="6" l="1"/>
  <c r="C11" i="6"/>
  <c r="E11" i="6" s="1"/>
  <c r="F11" i="6"/>
  <c r="B12" i="6" s="1"/>
  <c r="D12" i="6" l="1"/>
  <c r="C12" i="6"/>
  <c r="E12" i="6" s="1"/>
  <c r="F12" i="6" s="1"/>
  <c r="B13" i="6" s="1"/>
  <c r="D13" i="6" l="1"/>
  <c r="C13" i="6"/>
  <c r="E13" i="6" s="1"/>
  <c r="F13" i="6" s="1"/>
  <c r="B14" i="6" s="1"/>
  <c r="D14" i="6" l="1"/>
  <c r="C14" i="6"/>
  <c r="E14" i="6" s="1"/>
  <c r="F14" i="6"/>
  <c r="B15" i="6" s="1"/>
  <c r="D15" i="6" l="1"/>
  <c r="C15" i="6"/>
  <c r="E15" i="6" s="1"/>
  <c r="F15" i="6" s="1"/>
  <c r="B16" i="6" s="1"/>
  <c r="C16" i="6" l="1"/>
  <c r="D16" i="6"/>
  <c r="E16" i="6" l="1"/>
  <c r="F16" i="6" s="1"/>
  <c r="B17" i="6" s="1"/>
  <c r="D17" i="6" l="1"/>
  <c r="C17" i="6"/>
  <c r="E17" i="6" s="1"/>
  <c r="F17" i="6" s="1"/>
  <c r="B18" i="6" s="1"/>
  <c r="D18" i="6" l="1"/>
  <c r="C18" i="6"/>
  <c r="E18" i="6" s="1"/>
  <c r="F18" i="6" s="1"/>
  <c r="B19" i="6" s="1"/>
  <c r="D19" i="6" l="1"/>
  <c r="C19" i="6"/>
  <c r="E19" i="6" s="1"/>
  <c r="F19" i="6"/>
  <c r="B20" i="6" s="1"/>
  <c r="D20" i="6" l="1"/>
  <c r="C20" i="6"/>
  <c r="E20" i="6" s="1"/>
  <c r="F20" i="6" s="1"/>
  <c r="B21" i="6" s="1"/>
  <c r="D21" i="6" l="1"/>
  <c r="C21" i="6"/>
  <c r="E21" i="6" s="1"/>
  <c r="F21" i="6" s="1"/>
  <c r="B22" i="6" s="1"/>
  <c r="D22" i="6" l="1"/>
  <c r="C22" i="6"/>
  <c r="E22" i="6" s="1"/>
  <c r="F22" i="6"/>
  <c r="B23" i="6" s="1"/>
  <c r="D23" i="6" l="1"/>
  <c r="C23" i="6"/>
  <c r="E23" i="6" s="1"/>
  <c r="F23" i="6" s="1"/>
  <c r="B24" i="6" s="1"/>
  <c r="C24" i="6" l="1"/>
  <c r="D24" i="6"/>
  <c r="E24" i="6" l="1"/>
  <c r="F24" i="6" s="1"/>
  <c r="B25" i="6" s="1"/>
  <c r="D25" i="6" l="1"/>
  <c r="C25" i="6"/>
  <c r="E25" i="6" s="1"/>
  <c r="F25" i="6" s="1"/>
  <c r="B26" i="6" s="1"/>
  <c r="D26" i="6" l="1"/>
  <c r="C26" i="6"/>
  <c r="E26" i="6" s="1"/>
  <c r="F26" i="6" s="1"/>
  <c r="B27" i="6" s="1"/>
  <c r="D27" i="6" l="1"/>
  <c r="C27" i="6"/>
  <c r="E27" i="6" s="1"/>
  <c r="F27" i="6"/>
  <c r="B28" i="6" s="1"/>
  <c r="D28" i="6" l="1"/>
  <c r="C28" i="6"/>
  <c r="E28" i="6" s="1"/>
  <c r="F28" i="6" s="1"/>
  <c r="B29" i="6" s="1"/>
  <c r="D29" i="6" l="1"/>
  <c r="C29" i="6"/>
  <c r="E29" i="6" s="1"/>
  <c r="F29" i="6" s="1"/>
  <c r="B30" i="6" s="1"/>
  <c r="D30" i="6" l="1"/>
  <c r="C30" i="6"/>
  <c r="E30" i="6" s="1"/>
  <c r="F30" i="6"/>
  <c r="B31" i="6" s="1"/>
  <c r="D31" i="6" l="1"/>
  <c r="C31" i="6"/>
  <c r="E31" i="6" s="1"/>
  <c r="F31" i="6" s="1"/>
  <c r="B32" i="6" s="1"/>
  <c r="C32" i="6" l="1"/>
  <c r="D32" i="6"/>
  <c r="E32" i="6" l="1"/>
  <c r="F32" i="6" s="1"/>
  <c r="B33" i="6" s="1"/>
  <c r="D33" i="6" l="1"/>
  <c r="C33" i="6"/>
  <c r="E33" i="6" s="1"/>
  <c r="F33" i="6" s="1"/>
  <c r="B34" i="6" s="1"/>
  <c r="D34" i="6" l="1"/>
  <c r="C34" i="6"/>
  <c r="E34" i="6" s="1"/>
  <c r="F34" i="6" s="1"/>
  <c r="B35" i="6" s="1"/>
  <c r="D35" i="6" l="1"/>
  <c r="C35" i="6"/>
  <c r="E35" i="6" s="1"/>
  <c r="F35" i="6"/>
  <c r="B36" i="6" s="1"/>
  <c r="D36" i="6" l="1"/>
  <c r="C36" i="6"/>
  <c r="E36" i="6" s="1"/>
  <c r="F36" i="6" s="1"/>
  <c r="B37" i="6" s="1"/>
  <c r="D37" i="6" l="1"/>
  <c r="C37" i="6"/>
  <c r="E37" i="6" s="1"/>
  <c r="F37" i="6" s="1"/>
  <c r="B38" i="6" s="1"/>
  <c r="D38" i="6" l="1"/>
  <c r="C38" i="6"/>
  <c r="E38" i="6" s="1"/>
  <c r="F38" i="6"/>
  <c r="B39" i="6" s="1"/>
  <c r="D39" i="6" l="1"/>
  <c r="C39" i="6"/>
  <c r="E39" i="6" s="1"/>
  <c r="F39" i="6" s="1"/>
  <c r="B40" i="6" s="1"/>
  <c r="C40" i="6" l="1"/>
  <c r="D40" i="6"/>
  <c r="E40" i="6" l="1"/>
  <c r="F40" i="6" s="1"/>
  <c r="B41" i="6" s="1"/>
  <c r="D41" i="6" l="1"/>
  <c r="C41" i="6"/>
  <c r="E41" i="6" s="1"/>
  <c r="F41" i="6" s="1"/>
  <c r="B42" i="6" s="1"/>
  <c r="D42" i="6" l="1"/>
  <c r="C42" i="6"/>
  <c r="E42" i="6" s="1"/>
  <c r="F42" i="6" s="1"/>
  <c r="B43" i="6" s="1"/>
  <c r="D43" i="6" l="1"/>
  <c r="C43" i="6"/>
  <c r="E43" i="6" s="1"/>
  <c r="F43" i="6"/>
  <c r="B44" i="6" s="1"/>
  <c r="D44" i="6" l="1"/>
  <c r="C44" i="6"/>
  <c r="E44" i="6" s="1"/>
  <c r="F44" i="6" s="1"/>
  <c r="B45" i="6" s="1"/>
  <c r="D45" i="6" l="1"/>
  <c r="C45" i="6"/>
  <c r="E45" i="6" s="1"/>
  <c r="F45" i="6" s="1"/>
  <c r="B46" i="6" s="1"/>
  <c r="D46" i="6" l="1"/>
  <c r="C46" i="6"/>
  <c r="E46" i="6" s="1"/>
  <c r="F46" i="6"/>
  <c r="B47" i="6" s="1"/>
  <c r="D47" i="6" l="1"/>
  <c r="C47" i="6"/>
  <c r="E47" i="6" s="1"/>
  <c r="F47" i="6" s="1"/>
  <c r="B48" i="6" s="1"/>
  <c r="C48" i="6" l="1"/>
  <c r="D48" i="6"/>
  <c r="E48" i="6" l="1"/>
  <c r="F48" i="6" s="1"/>
  <c r="B49" i="6" s="1"/>
  <c r="D49" i="6" l="1"/>
  <c r="C49" i="6"/>
  <c r="E49" i="6" s="1"/>
  <c r="F49" i="6" s="1"/>
  <c r="B50" i="6" s="1"/>
  <c r="D50" i="6" l="1"/>
  <c r="C50" i="6"/>
  <c r="E50" i="6" s="1"/>
  <c r="F50" i="6" s="1"/>
  <c r="B51" i="6" s="1"/>
  <c r="D51" i="6" l="1"/>
  <c r="C51" i="6"/>
  <c r="E51" i="6" s="1"/>
  <c r="F51" i="6"/>
  <c r="B52" i="6" s="1"/>
  <c r="D52" i="6" l="1"/>
  <c r="C52" i="6"/>
  <c r="E52" i="6" s="1"/>
  <c r="F52" i="6" s="1"/>
  <c r="B53" i="6" s="1"/>
  <c r="D53" i="6" l="1"/>
  <c r="C53" i="6"/>
  <c r="E53" i="6" s="1"/>
  <c r="F53" i="6" s="1"/>
  <c r="B54" i="6" s="1"/>
  <c r="D54" i="6" l="1"/>
  <c r="C54" i="6"/>
  <c r="E54" i="6" s="1"/>
  <c r="F54" i="6"/>
  <c r="B55" i="6" s="1"/>
  <c r="D55" i="6" l="1"/>
  <c r="C55" i="6"/>
  <c r="E55" i="6" s="1"/>
  <c r="F55" i="6" s="1"/>
  <c r="B56" i="6" s="1"/>
  <c r="C56" i="6" l="1"/>
  <c r="D56" i="6"/>
  <c r="E56" i="6" l="1"/>
  <c r="F56" i="6" s="1"/>
  <c r="B57" i="6" s="1"/>
  <c r="D57" i="6" l="1"/>
  <c r="C57" i="6"/>
  <c r="E57" i="6" s="1"/>
  <c r="F57" i="6" s="1"/>
  <c r="B58" i="6" s="1"/>
  <c r="D58" i="6" l="1"/>
  <c r="C58" i="6"/>
  <c r="E58" i="6" s="1"/>
  <c r="F58" i="6" s="1"/>
  <c r="B59" i="6" s="1"/>
  <c r="D59" i="6" l="1"/>
  <c r="C59" i="6"/>
  <c r="E59" i="6" s="1"/>
  <c r="F59" i="6"/>
  <c r="B60" i="6" s="1"/>
  <c r="D60" i="6" l="1"/>
  <c r="C60" i="6"/>
  <c r="E60" i="6" s="1"/>
  <c r="F60" i="6" s="1"/>
  <c r="B61" i="6" s="1"/>
  <c r="D61" i="6" l="1"/>
  <c r="C61" i="6"/>
  <c r="E61" i="6" s="1"/>
  <c r="F61" i="6" s="1"/>
  <c r="B62" i="6" s="1"/>
  <c r="D62" i="6" l="1"/>
  <c r="C62" i="6"/>
  <c r="E62" i="6" s="1"/>
  <c r="F62" i="6"/>
  <c r="B63" i="6" s="1"/>
  <c r="D63" i="6" l="1"/>
  <c r="C63" i="6"/>
  <c r="E63" i="6" s="1"/>
  <c r="F63" i="6" s="1"/>
  <c r="B64" i="6" s="1"/>
  <c r="C64" i="6" l="1"/>
  <c r="D64" i="6"/>
  <c r="E64" i="6" l="1"/>
  <c r="F64" i="6" s="1"/>
  <c r="B65" i="6" s="1"/>
  <c r="D65" i="6" l="1"/>
  <c r="C65" i="6"/>
  <c r="E65" i="6" s="1"/>
  <c r="F65" i="6" s="1"/>
</calcChain>
</file>

<file path=xl/sharedStrings.xml><?xml version="1.0" encoding="utf-8"?>
<sst xmlns="http://schemas.openxmlformats.org/spreadsheetml/2006/main" count="125" uniqueCount="94">
  <si>
    <t>حاسبة القروض والتمويل الشخصي ومقارنة البنوك</t>
  </si>
  <si>
    <t>قبل أن توقّع أي تمويل – اعرف التكلفة الحقيقية وقارن العروض</t>
  </si>
  <si>
    <t>🏦 مقارنة البنوك</t>
  </si>
  <si>
    <t>💳 التمويل الشخصي</t>
  </si>
  <si>
    <t>🚗 تمويل السيارة</t>
  </si>
  <si>
    <t>أرخص تمويل بالأرقام</t>
  </si>
  <si>
    <t>القسط والتكلفة الكلية</t>
  </si>
  <si>
    <t>إيجار منتهٍ أم مرابحة؟</t>
  </si>
  <si>
    <t>📊 نسبة الاستقطاع</t>
  </si>
  <si>
    <t>💰 السداد المبكر</t>
  </si>
  <si>
    <t>📅 جدول الأقساط</t>
  </si>
  <si>
    <t>هل تتحمل القسط؟</t>
  </si>
  <si>
    <t>كم توفّر؟</t>
  </si>
  <si>
    <t>تفصيل كامل</t>
  </si>
  <si>
    <t>مقارنة عروض التمويل الشخصي بين البنوك</t>
  </si>
  <si>
    <t>معدل النسبة السنوي (APR) هو المقياس الحقيقي للمقارنة – وليس نسبة الربح المعلنة</t>
  </si>
  <si>
    <t>بيانات التمويل المطلوب</t>
  </si>
  <si>
    <t>مبلغ التمويل المطلوب (ريال)</t>
  </si>
  <si>
    <t>المدة المطلوبة (شهر)</t>
  </si>
  <si>
    <t>البنك</t>
  </si>
  <si>
    <t>نسبة الربح السنوي %</t>
  </si>
  <si>
    <t>معدل APR %</t>
  </si>
  <si>
    <t>رسوم إدارية (ريال)</t>
  </si>
  <si>
    <t>القسط الشهري (ريال)</t>
  </si>
  <si>
    <t>إجمالي المبلغ المسدد (ريال)</t>
  </si>
  <si>
    <t>إجمالي تكلفة التمويل (ريال)</t>
  </si>
  <si>
    <t>الترتيب</t>
  </si>
  <si>
    <t>التوصية</t>
  </si>
  <si>
    <t>مصرف الراجحي</t>
  </si>
  <si>
    <t>البنك الأهلي</t>
  </si>
  <si>
    <t>بنك الإنماء</t>
  </si>
  <si>
    <t>بنك الرياض</t>
  </si>
  <si>
    <t>البنك السعودي الفرنسي</t>
  </si>
  <si>
    <t>بنك البلاد</t>
  </si>
  <si>
    <t>أفضل عرض تمويلي</t>
  </si>
  <si>
    <t>🔑 دليل الألوان:</t>
  </si>
  <si>
    <t xml:space="preserve">  خلايا الإدخال</t>
  </si>
  <si>
    <t xml:space="preserve">  خلايا محسوبة</t>
  </si>
  <si>
    <t xml:space="preserve">  نتائج رئيسية</t>
  </si>
  <si>
    <t xml:space="preserve">  تحذير/سلبي</t>
  </si>
  <si>
    <t>حاسبة التمويل الشخصي التفصيلية</t>
  </si>
  <si>
    <t>بيانات التمويل</t>
  </si>
  <si>
    <t>مبلغ التمويل (ريال)</t>
  </si>
  <si>
    <t>مدة التمويل (شهر)</t>
  </si>
  <si>
    <t>الرسوم الإدارية (ريال)</t>
  </si>
  <si>
    <t>رسوم التأمين (ريال)</t>
  </si>
  <si>
    <t>⭐ النتائج</t>
  </si>
  <si>
    <t>إجمالي الأقساط (ريال)</t>
  </si>
  <si>
    <t>إجمالي تكلفة الربح (ريال)</t>
  </si>
  <si>
    <t>الرسوم الإجمالية (ريال)</t>
  </si>
  <si>
    <t>التكلفة الكلية للتمويل (ريال)</t>
  </si>
  <si>
    <t>نسبة التكلفة من المبلغ %</t>
  </si>
  <si>
    <t>هل تتحمل هذا القسط؟ (نسبة الاستقطاع)</t>
  </si>
  <si>
    <t>دخلك الشهري الصافي (ريال)</t>
  </si>
  <si>
    <t>التزاماتك الشهرية الأخرى (ريال)</t>
  </si>
  <si>
    <t>نسبة الاستقطاع الكلية %</t>
  </si>
  <si>
    <t>حاسبة تمويل السيارة – مرابحة مقابل إيجار منتهٍ بالتمليك</t>
  </si>
  <si>
    <t>بيانات السيارة</t>
  </si>
  <si>
    <t>المقارنة</t>
  </si>
  <si>
    <t>سعر السيارة (ريال)</t>
  </si>
  <si>
    <t>البند</t>
  </si>
  <si>
    <t>المرابحة</t>
  </si>
  <si>
    <t>إيجار منتهٍ</t>
  </si>
  <si>
    <t>الدفعة الأولى (ريال)</t>
  </si>
  <si>
    <t>نسبة الربح %</t>
  </si>
  <si>
    <t>القسط الشهري</t>
  </si>
  <si>
    <t>الدفعة الأخيرة</t>
  </si>
  <si>
    <t>⭐ التكلفة الإجمالية لكل خيار</t>
  </si>
  <si>
    <t>المرابحة (ريال)</t>
  </si>
  <si>
    <t>إيجار منتهٍ (ريال)</t>
  </si>
  <si>
    <t>إجمالي الأقساط</t>
  </si>
  <si>
    <t>الدفعة الأولى</t>
  </si>
  <si>
    <t>التكلفة الإجمالية</t>
  </si>
  <si>
    <t>حاسبة توفير السداد المبكر</t>
  </si>
  <si>
    <t>وفق نظام البنك المركزي السعودي: تعويض السداد المبكر لا يتجاوز أرباح 3 أشهر للمتبقي</t>
  </si>
  <si>
    <t>بيانات التمويل القائم</t>
  </si>
  <si>
    <t>مبلغ التمويل الأصلي (ريال)</t>
  </si>
  <si>
    <t>مدة التمويل الأصلية (شهر)</t>
  </si>
  <si>
    <t>عدد الأقساط المسددة</t>
  </si>
  <si>
    <t>⭐ تحليل السداد المبكر</t>
  </si>
  <si>
    <t>الأقساط المتبقية</t>
  </si>
  <si>
    <t>الرصيد المتبقي من الأصل (ريال)</t>
  </si>
  <si>
    <t>إجمالي الأقساط المتبقية لو أكملت (ريال)</t>
  </si>
  <si>
    <t>تعويض السداد المبكر (أرباح 3 أشهر) (ريال)</t>
  </si>
  <si>
    <t>⭐ مبلغ السداد المبكر الإجمالي (ريال)</t>
  </si>
  <si>
    <t>التوفير من السداد المبكر (ريال)</t>
  </si>
  <si>
    <t>جدول الأقساط التفصيلي</t>
  </si>
  <si>
    <t>المدة (شهر)</t>
  </si>
  <si>
    <t>القسط #</t>
  </si>
  <si>
    <t>رصيد البداية (ريال)</t>
  </si>
  <si>
    <t>القسط (ريال)</t>
  </si>
  <si>
    <t>جزء الربح (ريال)</t>
  </si>
  <si>
    <t>جزء الأصل (ريال)</t>
  </si>
  <si>
    <t>رصيد النهاية (ريال)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</si>
</sst>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%"/>
    <numFmt numFmtId="165" formatCode="0.0%"/>
  </numFmts>
  <fonts count="21" x14ac:knownFonts="1">
    <font>
      <sz val="11"/>
      <color theme="1"/>
      <name val="Calibri"/>
      <family val="2"/>
      <charset val="1"/>
    </font>
    <font>
      <b/>
      <sz val="19"/>
      <color rgb="FFFFFFFF"/>
      <name val="Arial"/>
      <charset val="1"/>
    </font>
    <font>
      <sz val="11"/>
      <color rgb="FFC9A84C"/>
      <name val="Arial"/>
      <charset val="1"/>
    </font>
    <font>
      <b/>
      <sz val="10"/>
      <color rgb="FFFFFFFF"/>
      <name val="Arial"/>
      <charset val="1"/>
    </font>
    <font>
      <sz val="9"/>
      <color rgb="FF1F3864"/>
      <name val="Arial"/>
      <charset val="1"/>
    </font>
    <font>
      <b/>
      <sz val="13"/>
      <color rgb="FFFFFFFF"/>
      <name val="Arial"/>
      <charset val="1"/>
    </font>
    <font>
      <i/>
      <sz val="9"/>
      <color rgb="FF2E5FA3"/>
      <name val="Arial"/>
      <charset val="1"/>
    </font>
    <font>
      <b/>
      <sz val="11"/>
      <color rgb="FFFFFFFF"/>
      <name val="Arial"/>
      <charset val="1"/>
    </font>
    <font>
      <sz val="10"/>
      <color rgb="FF000000"/>
      <name val="Arial"/>
      <charset val="1"/>
    </font>
    <font>
      <sz val="10"/>
      <color rgb="FF0000FF"/>
      <name val="Arial"/>
      <charset val="1"/>
    </font>
    <font>
      <b/>
      <sz val="9"/>
      <color rgb="FFFFFFFF"/>
      <name val="Arial"/>
      <charset val="1"/>
    </font>
    <font>
      <b/>
      <sz val="9"/>
      <name val="Arial"/>
      <charset val="1"/>
    </font>
    <font>
      <b/>
      <sz val="11"/>
      <color rgb="FF1F3864"/>
      <name val="Arial"/>
      <charset val="1"/>
    </font>
    <font>
      <b/>
      <sz val="9"/>
      <color rgb="FF1F3864"/>
      <name val="Arial"/>
      <charset val="1"/>
    </font>
    <font>
      <sz val="8"/>
      <color rgb="FF0000FF"/>
      <name val="Arial"/>
      <charset val="1"/>
    </font>
    <font>
      <sz val="8"/>
      <color rgb="FF000000"/>
      <name val="Arial"/>
      <charset val="1"/>
    </font>
    <font>
      <sz val="8"/>
      <color rgb="FF375623"/>
      <name val="Arial"/>
      <charset val="1"/>
    </font>
    <font>
      <sz val="8"/>
      <color rgb="FF7B0000"/>
      <name val="Arial"/>
      <charset val="1"/>
    </font>
    <font>
      <b/>
      <sz val="10"/>
      <color rgb="FF1F3864"/>
      <name val="Arial"/>
      <charset val="1"/>
    </font>
    <font>
      <b/>
      <sz val="10"/>
      <color rgb="FF375623"/>
      <name val="Arial"/>
      <charset val="1"/>
    </font>
    <font>
      <sz val="10"/>
      <color rgb="FF1F3864"/>
      <name val="Arial"/>
      <charset val="1"/>
    </font>
  </fonts>
  <fills count="10">
    <fill>
      <patternFill patternType="none"/>
    </fill>
    <fill>
      <patternFill patternType="gray125"/>
    </fill>
    <fill>
      <patternFill patternType="solid">
        <fgColor rgb="FF1F3864"/>
        <bgColor rgb="FF333399"/>
      </patternFill>
    </fill>
    <fill>
      <patternFill patternType="solid">
        <fgColor rgb="FFC9A84C"/>
        <bgColor rgb="FFFF9900"/>
      </patternFill>
    </fill>
    <fill>
      <patternFill patternType="solid">
        <fgColor rgb="FF2E5FA3"/>
        <bgColor rgb="FF3366FF"/>
      </patternFill>
    </fill>
    <fill>
      <patternFill patternType="solid">
        <fgColor rgb="FFDEEAF1"/>
        <bgColor rgb="FFE2EFDA"/>
      </patternFill>
    </fill>
    <fill>
      <patternFill patternType="solid">
        <fgColor rgb="FFFFFFFF"/>
        <bgColor rgb="FFF2F2F2"/>
      </patternFill>
    </fill>
    <fill>
      <patternFill patternType="solid">
        <fgColor rgb="FFF2F2F2"/>
        <bgColor rgb="FFE2EFDA"/>
      </patternFill>
    </fill>
    <fill>
      <patternFill patternType="solid">
        <fgColor rgb="FFE2EFDA"/>
        <bgColor rgb="FFDEEAF1"/>
      </patternFill>
    </fill>
    <fill>
      <patternFill patternType="solid">
        <fgColor rgb="FFFCE4D6"/>
        <bgColor rgb="FFF2F2F2"/>
      </patternFill>
    </fill>
  </fills>
  <borders count="6">
    <border>
      <left/>
      <right/>
      <top/>
      <bottom/>
      <diagonal/>
    </border>
    <border>
      <left style="thin">
        <color rgb="FFBFBFBF"/>
      </left>
      <right/>
      <top style="thin">
        <color rgb="FFBFBFBF"/>
      </top>
      <bottom style="thin">
        <color rgb="FFBFBFBF"/>
      </bottom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medium">
        <color rgb="FF1F3864"/>
      </left>
      <right/>
      <top style="medium">
        <color rgb="FF1F3864"/>
      </top>
      <bottom/>
      <diagonal/>
    </border>
    <border>
      <left style="medium">
        <color rgb="FF1F3864"/>
      </left>
      <right style="medium">
        <color rgb="FF1F3864"/>
      </right>
      <top style="medium">
        <color rgb="FF1F3864"/>
      </top>
      <bottom style="medium">
        <color rgb="FF1F3864"/>
      </bottom>
      <diagonal/>
    </border>
    <border>
      <left style="medium">
        <color rgb="FF1F3864"/>
      </left>
      <right/>
      <top style="medium">
        <color rgb="FF1F3864"/>
      </top>
      <bottom style="medium">
        <color rgb="FF1F3864"/>
      </bottom>
      <diagonal/>
    </border>
  </borders>
  <cellStyleXfs count="1">
    <xf numFmtId="0" fontId="0" fillId="0" borderId="0"/>
  </cellStyleXfs>
  <cellXfs count="41">
    <xf numFmtId="0" fontId="0" fillId="0" borderId="0" xfId="0"/>
    <xf numFmtId="0" fontId="4" fillId="5" borderId="1" xfId="0" applyFont="1" applyFill="1" applyBorder="1" applyAlignment="1">
      <alignment horizontal="center" vertical="center" wrapText="1"/>
    </xf>
    <xf numFmtId="0" fontId="3" fillId="4" borderId="1" xfId="0" applyFont="1" applyFill="1" applyBorder="1" applyAlignment="1">
      <alignment horizontal="center" vertical="center" wrapText="1"/>
    </xf>
    <xf numFmtId="0" fontId="2" fillId="2" borderId="0" xfId="0" applyFont="1" applyFill="1" applyAlignment="1">
      <alignment horizontal="center" vertical="center" wrapText="1"/>
    </xf>
    <xf numFmtId="0" fontId="1" fillId="2" borderId="0" xfId="0" applyFont="1" applyFill="1" applyAlignment="1">
      <alignment horizontal="center" vertical="center" wrapText="1"/>
    </xf>
    <xf numFmtId="0" fontId="0" fillId="3" borderId="0" xfId="0" applyFill="1"/>
    <xf numFmtId="0" fontId="5" fillId="2" borderId="1" xfId="0" applyFont="1" applyFill="1" applyBorder="1" applyAlignment="1" applyProtection="1">
      <alignment horizontal="center" vertical="center" wrapText="1"/>
      <protection locked="0"/>
    </xf>
    <xf numFmtId="0" fontId="0" fillId="0" borderId="0" xfId="0" applyProtection="1">
      <protection locked="0"/>
    </xf>
    <xf numFmtId="0" fontId="6" fillId="0" borderId="0" xfId="0" applyFont="1" applyAlignment="1" applyProtection="1">
      <alignment horizontal="center" vertical="center" wrapText="1"/>
      <protection locked="0"/>
    </xf>
    <xf numFmtId="0" fontId="7" fillId="4" borderId="2" xfId="0" applyFont="1" applyFill="1" applyBorder="1" applyAlignment="1" applyProtection="1">
      <alignment horizontal="center" vertical="center" wrapText="1"/>
      <protection locked="0"/>
    </xf>
    <xf numFmtId="0" fontId="8" fillId="6" borderId="2" xfId="0" applyFont="1" applyFill="1" applyBorder="1" applyAlignment="1" applyProtection="1">
      <alignment horizontal="left" vertical="center" wrapText="1"/>
      <protection locked="0"/>
    </xf>
    <xf numFmtId="3" fontId="9" fillId="5" borderId="2" xfId="0" applyNumberFormat="1" applyFont="1" applyFill="1" applyBorder="1" applyAlignment="1" applyProtection="1">
      <alignment horizontal="right" vertical="center"/>
      <protection locked="0"/>
    </xf>
    <xf numFmtId="1" fontId="9" fillId="5" borderId="2" xfId="0" applyNumberFormat="1" applyFont="1" applyFill="1" applyBorder="1" applyAlignment="1" applyProtection="1">
      <alignment horizontal="right" vertical="center"/>
      <protection locked="0"/>
    </xf>
    <xf numFmtId="0" fontId="10" fillId="2" borderId="2" xfId="0" applyFont="1" applyFill="1" applyBorder="1" applyAlignment="1" applyProtection="1">
      <alignment horizontal="center" vertical="center" wrapText="1"/>
      <protection locked="0"/>
    </xf>
    <xf numFmtId="164" fontId="9" fillId="5" borderId="2" xfId="0" applyNumberFormat="1" applyFont="1" applyFill="1" applyBorder="1" applyAlignment="1" applyProtection="1">
      <alignment horizontal="right" vertical="center"/>
      <protection locked="0"/>
    </xf>
    <xf numFmtId="0" fontId="7" fillId="2" borderId="1" xfId="0" applyFont="1" applyFill="1" applyBorder="1" applyAlignment="1" applyProtection="1">
      <alignment horizontal="center" vertical="center" wrapText="1"/>
      <protection locked="0"/>
    </xf>
    <xf numFmtId="0" fontId="13" fillId="0" borderId="0" xfId="0" applyFont="1" applyProtection="1">
      <protection locked="0"/>
    </xf>
    <xf numFmtId="0" fontId="14" fillId="5" borderId="2" xfId="0" applyFont="1" applyFill="1" applyBorder="1" applyProtection="1">
      <protection locked="0"/>
    </xf>
    <xf numFmtId="0" fontId="15" fillId="7" borderId="2" xfId="0" applyFont="1" applyFill="1" applyBorder="1" applyProtection="1">
      <protection locked="0"/>
    </xf>
    <xf numFmtId="0" fontId="16" fillId="8" borderId="2" xfId="0" applyFont="1" applyFill="1" applyBorder="1" applyProtection="1">
      <protection locked="0"/>
    </xf>
    <xf numFmtId="0" fontId="17" fillId="9" borderId="2" xfId="0" applyFont="1" applyFill="1" applyBorder="1" applyProtection="1">
      <protection locked="0"/>
    </xf>
    <xf numFmtId="4" fontId="8" fillId="7" borderId="2" xfId="0" applyNumberFormat="1" applyFont="1" applyFill="1" applyBorder="1" applyAlignment="1" applyProtection="1">
      <alignment horizontal="right" vertical="center"/>
      <protection locked="0" hidden="1"/>
    </xf>
    <xf numFmtId="3" fontId="8" fillId="7" borderId="2" xfId="0" applyNumberFormat="1" applyFont="1" applyFill="1" applyBorder="1" applyAlignment="1" applyProtection="1">
      <alignment horizontal="right" vertical="center"/>
      <protection locked="0" hidden="1"/>
    </xf>
    <xf numFmtId="1" fontId="8" fillId="7" borderId="2" xfId="0" applyNumberFormat="1" applyFont="1" applyFill="1" applyBorder="1" applyAlignment="1" applyProtection="1">
      <alignment horizontal="right" vertical="center"/>
      <protection locked="0" hidden="1"/>
    </xf>
    <xf numFmtId="0" fontId="11" fillId="6" borderId="2" xfId="0" applyFont="1" applyFill="1" applyBorder="1" applyAlignment="1" applyProtection="1">
      <alignment horizontal="center" vertical="center" wrapText="1"/>
      <protection locked="0" hidden="1"/>
    </xf>
    <xf numFmtId="0" fontId="12" fillId="8" borderId="3" xfId="0" applyFont="1" applyFill="1" applyBorder="1" applyAlignment="1" applyProtection="1">
      <alignment horizontal="center" vertical="center" wrapText="1"/>
      <protection locked="0" hidden="1"/>
    </xf>
    <xf numFmtId="0" fontId="7" fillId="2" borderId="2" xfId="0" applyFont="1" applyFill="1" applyBorder="1" applyAlignment="1" applyProtection="1">
      <alignment horizontal="center" vertical="center" wrapText="1"/>
      <protection locked="0"/>
    </xf>
    <xf numFmtId="0" fontId="18" fillId="5" borderId="2" xfId="0" applyFont="1" applyFill="1" applyBorder="1" applyAlignment="1" applyProtection="1">
      <alignment horizontal="left" vertical="center" wrapText="1"/>
      <protection locked="0"/>
    </xf>
    <xf numFmtId="4" fontId="19" fillId="8" borderId="4" xfId="0" applyNumberFormat="1" applyFont="1" applyFill="1" applyBorder="1" applyAlignment="1" applyProtection="1">
      <alignment horizontal="right" vertical="center"/>
      <protection locked="0" hidden="1"/>
    </xf>
    <xf numFmtId="165" fontId="19" fillId="8" borderId="4" xfId="0" applyNumberFormat="1" applyFont="1" applyFill="1" applyBorder="1" applyAlignment="1" applyProtection="1">
      <alignment horizontal="right" vertical="center"/>
      <protection locked="0" hidden="1"/>
    </xf>
    <xf numFmtId="165" fontId="8" fillId="7" borderId="2" xfId="0" applyNumberFormat="1" applyFont="1" applyFill="1" applyBorder="1" applyAlignment="1" applyProtection="1">
      <alignment horizontal="right" vertical="center"/>
      <protection locked="0" hidden="1"/>
    </xf>
    <xf numFmtId="165" fontId="9" fillId="5" borderId="2" xfId="0" applyNumberFormat="1" applyFont="1" applyFill="1" applyBorder="1" applyAlignment="1" applyProtection="1">
      <alignment horizontal="right" vertical="center"/>
      <protection locked="0"/>
    </xf>
    <xf numFmtId="0" fontId="10" fillId="2" borderId="2" xfId="0" applyFont="1" applyFill="1" applyBorder="1" applyAlignment="1" applyProtection="1">
      <alignment horizontal="center" vertical="center" wrapText="1"/>
      <protection locked="0"/>
    </xf>
    <xf numFmtId="0" fontId="20" fillId="5" borderId="2" xfId="0" applyFont="1" applyFill="1" applyBorder="1" applyAlignment="1" applyProtection="1">
      <alignment horizontal="left" vertical="center" wrapText="1"/>
      <protection locked="0"/>
    </xf>
    <xf numFmtId="3" fontId="8" fillId="7" borderId="1" xfId="0" applyNumberFormat="1" applyFont="1" applyFill="1" applyBorder="1" applyAlignment="1" applyProtection="1">
      <alignment horizontal="right" vertical="center"/>
      <protection locked="0" hidden="1"/>
    </xf>
    <xf numFmtId="4" fontId="19" fillId="8" borderId="5" xfId="0" applyNumberFormat="1" applyFont="1" applyFill="1" applyBorder="1" applyAlignment="1" applyProtection="1">
      <alignment horizontal="right" vertical="center"/>
      <protection locked="0" hidden="1"/>
    </xf>
    <xf numFmtId="0" fontId="13" fillId="6" borderId="2" xfId="0" applyFont="1" applyFill="1" applyBorder="1" applyAlignment="1" applyProtection="1">
      <alignment horizontal="center" vertical="center" wrapText="1"/>
      <protection locked="0"/>
    </xf>
    <xf numFmtId="0" fontId="13" fillId="5" borderId="2" xfId="0" applyFont="1" applyFill="1" applyBorder="1" applyAlignment="1" applyProtection="1">
      <alignment horizontal="center" vertical="center" wrapText="1"/>
      <protection locked="0"/>
    </xf>
    <xf numFmtId="4" fontId="8" fillId="6" borderId="2" xfId="0" applyNumberFormat="1" applyFont="1" applyFill="1" applyBorder="1" applyAlignment="1" applyProtection="1">
      <alignment horizontal="right" vertical="center"/>
      <protection locked="0" hidden="1"/>
    </xf>
    <xf numFmtId="4" fontId="8" fillId="5" borderId="2" xfId="0" applyNumberFormat="1" applyFont="1" applyFill="1" applyBorder="1" applyAlignment="1" applyProtection="1">
      <alignment horizontal="right" vertical="center"/>
      <protection locked="0" hidden="1"/>
    </xf>
    <xf numFmtId="4" fontId="8" fillId="8" borderId="2" xfId="0" applyNumberFormat="1" applyFont="1" applyFill="1" applyBorder="1" applyAlignment="1" applyProtection="1">
      <alignment horizontal="right" vertical="center"/>
      <protection locked="0" hidden="1"/>
    </xf>
  </cellXfs>
  <cellStyles count="1">
    <cellStyle name="عادي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7B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2F2F2"/>
      <rgbColor rgb="FFDEEAF1"/>
      <rgbColor rgb="FF660066"/>
      <rgbColor rgb="FFFF8080"/>
      <rgbColor rgb="FF2E5FA3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E2EFDA"/>
      <rgbColor rgb="FFFFFF99"/>
      <rgbColor rgb="FF99CCFF"/>
      <rgbColor rgb="FFFF99CC"/>
      <rgbColor rgb="FFCC99FF"/>
      <rgbColor rgb="FFFCE4D6"/>
      <rgbColor rgb="FF3366FF"/>
      <rgbColor rgb="FF33CCCC"/>
      <rgbColor rgb="FF99CC00"/>
      <rgbColor rgb="FFFFCC00"/>
      <rgbColor rgb="FFFF9900"/>
      <rgbColor rgb="FFFF6600"/>
      <rgbColor rgb="FF666699"/>
      <rgbColor rgb="FFC9A84C"/>
      <rgbColor rgb="FF1F3864"/>
      <rgbColor rgb="FF339966"/>
      <rgbColor rgb="FF003300"/>
      <rgbColor rgb="FF333300"/>
      <rgbColor rgb="FF993300"/>
      <rgbColor rgb="FF993366"/>
      <rgbColor rgb="FF333399"/>
      <rgbColor rgb="FF37562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49"/>
  <sheetViews>
    <sheetView rightToLeft="1" tabSelected="1" zoomScaleNormal="100" workbookViewId="0">
      <selection sqref="A1:J5"/>
    </sheetView>
  </sheetViews>
  <sheetFormatPr defaultColWidth="8.6328125" defaultRowHeight="14.5" x14ac:dyDescent="0.35"/>
  <cols>
    <col min="1" max="10" width="8.453125" customWidth="1"/>
  </cols>
  <sheetData>
    <row r="1" spans="1:10" ht="25.5" customHeight="1" x14ac:dyDescent="0.35">
      <c r="A1" s="4" t="s">
        <v>0</v>
      </c>
      <c r="B1" s="4"/>
      <c r="C1" s="4"/>
      <c r="D1" s="4"/>
      <c r="E1" s="4"/>
      <c r="F1" s="4"/>
      <c r="G1" s="4"/>
      <c r="H1" s="4"/>
      <c r="I1" s="4"/>
      <c r="J1" s="4"/>
    </row>
    <row r="2" spans="1:10" ht="16.5" customHeight="1" x14ac:dyDescent="0.35">
      <c r="A2" s="4"/>
      <c r="B2" s="4"/>
      <c r="C2" s="4"/>
      <c r="D2" s="4"/>
      <c r="E2" s="4"/>
      <c r="F2" s="4"/>
      <c r="G2" s="4"/>
      <c r="H2" s="4"/>
      <c r="I2" s="4"/>
      <c r="J2" s="4"/>
    </row>
    <row r="3" spans="1:10" ht="16.5" customHeight="1" x14ac:dyDescent="0.35">
      <c r="A3" s="4"/>
      <c r="B3" s="4"/>
      <c r="C3" s="4"/>
      <c r="D3" s="4"/>
      <c r="E3" s="4"/>
      <c r="F3" s="4"/>
      <c r="G3" s="4"/>
      <c r="H3" s="4"/>
      <c r="I3" s="4"/>
      <c r="J3" s="4"/>
    </row>
    <row r="4" spans="1:10" ht="16.5" customHeight="1" x14ac:dyDescent="0.35">
      <c r="A4" s="4"/>
      <c r="B4" s="4"/>
      <c r="C4" s="4"/>
      <c r="D4" s="4"/>
      <c r="E4" s="4"/>
      <c r="F4" s="4"/>
      <c r="G4" s="4"/>
      <c r="H4" s="4"/>
      <c r="I4" s="4"/>
      <c r="J4" s="4"/>
    </row>
    <row r="5" spans="1:10" ht="16.5" customHeight="1" x14ac:dyDescent="0.35">
      <c r="A5" s="4"/>
      <c r="B5" s="4"/>
      <c r="C5" s="4"/>
      <c r="D5" s="4"/>
      <c r="E5" s="4"/>
      <c r="F5" s="4"/>
      <c r="G5" s="4"/>
      <c r="H5" s="4"/>
      <c r="I5" s="4"/>
      <c r="J5" s="4"/>
    </row>
    <row r="6" spans="1:10" ht="16.5" customHeight="1" x14ac:dyDescent="0.35">
      <c r="A6" s="3" t="s">
        <v>1</v>
      </c>
      <c r="B6" s="3"/>
      <c r="C6" s="3"/>
      <c r="D6" s="3"/>
      <c r="E6" s="3"/>
      <c r="F6" s="3"/>
      <c r="G6" s="3"/>
      <c r="H6" s="3"/>
      <c r="I6" s="3"/>
      <c r="J6" s="3"/>
    </row>
    <row r="7" spans="1:10" ht="16.5" customHeight="1" x14ac:dyDescent="0.35">
      <c r="A7" s="3"/>
      <c r="B7" s="3"/>
      <c r="C7" s="3"/>
      <c r="D7" s="3"/>
      <c r="E7" s="3"/>
      <c r="F7" s="3"/>
      <c r="G7" s="3"/>
      <c r="H7" s="3"/>
      <c r="I7" s="3"/>
      <c r="J7" s="3"/>
    </row>
    <row r="8" spans="1:10" ht="3" customHeight="1" x14ac:dyDescent="0.35">
      <c r="A8" s="5"/>
      <c r="B8" s="5"/>
      <c r="C8" s="5"/>
      <c r="D8" s="5"/>
      <c r="E8" s="5"/>
      <c r="F8" s="5"/>
      <c r="G8" s="5"/>
      <c r="H8" s="5"/>
      <c r="I8" s="5"/>
      <c r="J8" s="5"/>
    </row>
    <row r="9" spans="1:10" ht="18.75" customHeight="1" x14ac:dyDescent="0.35">
      <c r="B9" s="2" t="s">
        <v>2</v>
      </c>
      <c r="C9" s="2"/>
      <c r="D9" s="2"/>
      <c r="E9" s="2" t="s">
        <v>3</v>
      </c>
      <c r="F9" s="2"/>
      <c r="G9" s="2"/>
      <c r="H9" s="2" t="s">
        <v>4</v>
      </c>
      <c r="I9" s="2"/>
      <c r="J9" s="2"/>
    </row>
    <row r="10" spans="1:10" ht="15" customHeight="1" x14ac:dyDescent="0.35">
      <c r="B10" s="1" t="s">
        <v>5</v>
      </c>
      <c r="C10" s="1"/>
      <c r="D10" s="1"/>
      <c r="E10" s="1" t="s">
        <v>6</v>
      </c>
      <c r="F10" s="1"/>
      <c r="G10" s="1"/>
      <c r="H10" s="1" t="s">
        <v>7</v>
      </c>
      <c r="I10" s="1"/>
      <c r="J10" s="1"/>
    </row>
    <row r="11" spans="1:10" ht="16.5" customHeight="1" x14ac:dyDescent="0.35"/>
    <row r="12" spans="1:10" ht="16.5" customHeight="1" x14ac:dyDescent="0.35"/>
    <row r="13" spans="1:10" ht="18.75" customHeight="1" x14ac:dyDescent="0.35">
      <c r="B13" s="2" t="s">
        <v>8</v>
      </c>
      <c r="C13" s="2"/>
      <c r="D13" s="2"/>
      <c r="E13" s="2" t="s">
        <v>9</v>
      </c>
      <c r="F13" s="2"/>
      <c r="G13" s="2"/>
      <c r="H13" s="2" t="s">
        <v>10</v>
      </c>
      <c r="I13" s="2"/>
      <c r="J13" s="2"/>
    </row>
    <row r="14" spans="1:10" ht="15" customHeight="1" x14ac:dyDescent="0.35">
      <c r="B14" s="1" t="s">
        <v>11</v>
      </c>
      <c r="C14" s="1"/>
      <c r="D14" s="1"/>
      <c r="E14" s="1" t="s">
        <v>12</v>
      </c>
      <c r="F14" s="1"/>
      <c r="G14" s="1"/>
      <c r="H14" s="1" t="s">
        <v>13</v>
      </c>
      <c r="I14" s="1"/>
      <c r="J14" s="1"/>
    </row>
    <row r="15" spans="1:10" ht="16.5" customHeight="1" x14ac:dyDescent="0.35"/>
    <row r="16" spans="1:10" ht="16.5" customHeight="1" x14ac:dyDescent="0.35"/>
    <row r="17" ht="16.5" customHeight="1" x14ac:dyDescent="0.35"/>
    <row r="18" ht="16.5" customHeight="1" x14ac:dyDescent="0.35"/>
    <row r="19" ht="16.5" customHeight="1" x14ac:dyDescent="0.35"/>
    <row r="20" ht="16.5" customHeight="1" x14ac:dyDescent="0.35"/>
    <row r="21" ht="16.5" customHeight="1" x14ac:dyDescent="0.35"/>
    <row r="22" ht="16.5" customHeight="1" x14ac:dyDescent="0.35"/>
    <row r="23" ht="16.5" customHeight="1" x14ac:dyDescent="0.35"/>
    <row r="24" ht="16.5" customHeight="1" x14ac:dyDescent="0.35"/>
    <row r="25" ht="16.5" customHeight="1" x14ac:dyDescent="0.35"/>
    <row r="26" ht="16.5" customHeight="1" x14ac:dyDescent="0.35"/>
    <row r="27" ht="16.5" customHeight="1" x14ac:dyDescent="0.35"/>
    <row r="28" ht="16.5" customHeight="1" x14ac:dyDescent="0.35"/>
    <row r="29" ht="16.5" customHeight="1" x14ac:dyDescent="0.35"/>
    <row r="30" ht="16.5" customHeight="1" x14ac:dyDescent="0.35"/>
    <row r="31" ht="16.5" customHeight="1" x14ac:dyDescent="0.35"/>
    <row r="32" ht="16.5" customHeight="1" x14ac:dyDescent="0.35"/>
    <row r="33" ht="16.5" customHeight="1" x14ac:dyDescent="0.35"/>
    <row r="34" ht="16.5" customHeight="1" x14ac:dyDescent="0.35"/>
    <row r="35" ht="16.5" customHeight="1" x14ac:dyDescent="0.35"/>
    <row r="36" ht="16.5" customHeight="1" x14ac:dyDescent="0.35"/>
    <row r="37" ht="16.5" customHeight="1" x14ac:dyDescent="0.35"/>
    <row r="38" ht="16.5" customHeight="1" x14ac:dyDescent="0.35"/>
    <row r="39" ht="16.5" customHeight="1" x14ac:dyDescent="0.35"/>
    <row r="40" ht="16.5" customHeight="1" x14ac:dyDescent="0.35"/>
    <row r="41" ht="16.5" customHeight="1" x14ac:dyDescent="0.35"/>
    <row r="42" ht="16.5" customHeight="1" x14ac:dyDescent="0.35"/>
    <row r="43" ht="16.5" customHeight="1" x14ac:dyDescent="0.35"/>
    <row r="44" ht="16.5" customHeight="1" x14ac:dyDescent="0.35"/>
    <row r="45" ht="16.5" customHeight="1" x14ac:dyDescent="0.35"/>
    <row r="46" ht="16.5" customHeight="1" x14ac:dyDescent="0.35"/>
    <row r="47" ht="16.5" customHeight="1" x14ac:dyDescent="0.35"/>
    <row r="48" ht="16.5" customHeight="1" x14ac:dyDescent="0.35"/>
    <row r="49" ht="16.5" customHeight="1" x14ac:dyDescent="0.35"/>
  </sheetData>
  <mergeCells count="14">
    <mergeCell ref="B14:D14"/>
    <mergeCell ref="E14:G14"/>
    <mergeCell ref="H14:J14"/>
    <mergeCell ref="B10:D10"/>
    <mergeCell ref="E10:G10"/>
    <mergeCell ref="H10:J10"/>
    <mergeCell ref="B13:D13"/>
    <mergeCell ref="E13:G13"/>
    <mergeCell ref="H13:J13"/>
    <mergeCell ref="A1:J5"/>
    <mergeCell ref="A6:J7"/>
    <mergeCell ref="B9:D9"/>
    <mergeCell ref="E9:G9"/>
    <mergeCell ref="H9:J9"/>
  </mergeCells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24"/>
  <sheetViews>
    <sheetView rightToLeft="1" zoomScale="79" zoomScaleNormal="100" workbookViewId="0">
      <selection activeCell="E14" sqref="E14"/>
    </sheetView>
  </sheetViews>
  <sheetFormatPr defaultColWidth="8.6328125" defaultRowHeight="14.5" x14ac:dyDescent="0.35"/>
  <cols>
    <col min="1" max="1" width="22" style="7" customWidth="1"/>
    <col min="2" max="2" width="16" style="7" customWidth="1"/>
    <col min="3" max="3" width="14" style="7" customWidth="1"/>
    <col min="4" max="5" width="16" style="7" customWidth="1"/>
    <col min="6" max="7" width="18" style="7" customWidth="1"/>
    <col min="8" max="8" width="10" style="7" customWidth="1"/>
    <col min="9" max="9" width="14" style="7" customWidth="1"/>
    <col min="10" max="16384" width="8.6328125" style="7"/>
  </cols>
  <sheetData>
    <row r="1" spans="1:9" ht="27.75" customHeight="1" x14ac:dyDescent="0.35">
      <c r="A1" s="6" t="s">
        <v>14</v>
      </c>
      <c r="B1" s="6"/>
      <c r="C1" s="6"/>
      <c r="D1" s="6"/>
      <c r="E1" s="6"/>
      <c r="F1" s="6"/>
      <c r="G1" s="6"/>
      <c r="H1" s="6"/>
      <c r="I1" s="6"/>
    </row>
    <row r="2" spans="1:9" ht="15" customHeight="1" x14ac:dyDescent="0.35">
      <c r="A2" s="8" t="s">
        <v>15</v>
      </c>
      <c r="B2" s="8"/>
      <c r="C2" s="8"/>
      <c r="D2" s="8"/>
      <c r="E2" s="8"/>
      <c r="F2" s="8"/>
      <c r="G2" s="8"/>
      <c r="H2" s="8"/>
      <c r="I2" s="8"/>
    </row>
    <row r="4" spans="1:9" ht="21.75" customHeight="1" x14ac:dyDescent="0.35">
      <c r="A4" s="9" t="s">
        <v>16</v>
      </c>
      <c r="B4" s="9"/>
      <c r="C4" s="9"/>
    </row>
    <row r="5" spans="1:9" ht="16.5" customHeight="1" x14ac:dyDescent="0.35">
      <c r="A5" s="10" t="s">
        <v>17</v>
      </c>
      <c r="B5" s="11">
        <v>100000</v>
      </c>
    </row>
    <row r="6" spans="1:9" ht="16.5" customHeight="1" x14ac:dyDescent="0.35">
      <c r="A6" s="10" t="s">
        <v>18</v>
      </c>
      <c r="B6" s="12">
        <v>60</v>
      </c>
    </row>
    <row r="8" spans="1:9" ht="21.75" customHeight="1" x14ac:dyDescent="0.35">
      <c r="A8" s="13" t="s">
        <v>19</v>
      </c>
      <c r="B8" s="13" t="s">
        <v>20</v>
      </c>
      <c r="C8" s="13" t="s">
        <v>21</v>
      </c>
      <c r="D8" s="13" t="s">
        <v>22</v>
      </c>
      <c r="E8" s="13" t="s">
        <v>23</v>
      </c>
      <c r="F8" s="13" t="s">
        <v>24</v>
      </c>
      <c r="G8" s="13" t="s">
        <v>25</v>
      </c>
      <c r="H8" s="13" t="s">
        <v>26</v>
      </c>
      <c r="I8" s="13" t="s">
        <v>27</v>
      </c>
    </row>
    <row r="9" spans="1:9" ht="16.5" customHeight="1" x14ac:dyDescent="0.35">
      <c r="A9" s="10" t="s">
        <v>28</v>
      </c>
      <c r="B9" s="14">
        <v>3.8899999999999997E-2</v>
      </c>
      <c r="C9" s="14">
        <v>4.2500000000000003E-2</v>
      </c>
      <c r="D9" s="11">
        <v>1000</v>
      </c>
      <c r="E9" s="21">
        <f t="shared" ref="E9:E14" si="0">IFERROR(PMT(C9/12,$B$6,-$B$5),0)</f>
        <v>1852.9555811203884</v>
      </c>
      <c r="F9" s="22">
        <f t="shared" ref="F9:F14" si="1">E9*$B$6+D9</f>
        <v>112177.3348672233</v>
      </c>
      <c r="G9" s="22">
        <f t="shared" ref="G9:G14" si="2">F9-$B$5</f>
        <v>12177.334867223297</v>
      </c>
      <c r="H9" s="23">
        <f t="shared" ref="H9:H14" si="3">RANK(F9,F$9:F$14,1)</f>
        <v>3</v>
      </c>
      <c r="I9" s="24" t="str">
        <f t="shared" ref="I9:I14" si="4">IF(F9=MIN(F$9:F$14),"✅ الأفضل","")</f>
        <v/>
      </c>
    </row>
    <row r="10" spans="1:9" ht="16.5" customHeight="1" x14ac:dyDescent="0.35">
      <c r="A10" s="10" t="s">
        <v>29</v>
      </c>
      <c r="B10" s="14">
        <v>4.1000000000000002E-2</v>
      </c>
      <c r="C10" s="14">
        <v>4.5499999999999999E-2</v>
      </c>
      <c r="D10" s="11">
        <v>500</v>
      </c>
      <c r="E10" s="21">
        <f t="shared" si="0"/>
        <v>1866.5763456426678</v>
      </c>
      <c r="F10" s="22">
        <f t="shared" si="1"/>
        <v>112494.58073856006</v>
      </c>
      <c r="G10" s="22">
        <f t="shared" si="2"/>
        <v>12494.580738560064</v>
      </c>
      <c r="H10" s="23">
        <f t="shared" si="3"/>
        <v>5</v>
      </c>
      <c r="I10" s="24" t="str">
        <f t="shared" si="4"/>
        <v/>
      </c>
    </row>
    <row r="11" spans="1:9" ht="16.5" customHeight="1" x14ac:dyDescent="0.35">
      <c r="A11" s="10" t="s">
        <v>30</v>
      </c>
      <c r="B11" s="14">
        <v>3.7499999999999999E-2</v>
      </c>
      <c r="C11" s="14">
        <v>4.1000000000000002E-2</v>
      </c>
      <c r="D11" s="11">
        <v>750</v>
      </c>
      <c r="E11" s="21">
        <f t="shared" si="0"/>
        <v>1846.1683973759152</v>
      </c>
      <c r="F11" s="22">
        <f t="shared" si="1"/>
        <v>111520.10384255492</v>
      </c>
      <c r="G11" s="22">
        <f t="shared" si="2"/>
        <v>11520.10384255492</v>
      </c>
      <c r="H11" s="23">
        <f t="shared" si="3"/>
        <v>1</v>
      </c>
      <c r="I11" s="24" t="str">
        <f t="shared" si="4"/>
        <v>✅ الأفضل</v>
      </c>
    </row>
    <row r="12" spans="1:9" ht="16.5" customHeight="1" x14ac:dyDescent="0.35">
      <c r="A12" s="10" t="s">
        <v>31</v>
      </c>
      <c r="B12" s="14">
        <v>4.2000000000000003E-2</v>
      </c>
      <c r="C12" s="14">
        <v>4.65E-2</v>
      </c>
      <c r="D12" s="11">
        <v>0</v>
      </c>
      <c r="E12" s="21">
        <f t="shared" si="0"/>
        <v>1871.1303391228666</v>
      </c>
      <c r="F12" s="22">
        <f t="shared" si="1"/>
        <v>112267.82034737201</v>
      </c>
      <c r="G12" s="22">
        <f t="shared" si="2"/>
        <v>12267.820347372006</v>
      </c>
      <c r="H12" s="23">
        <f t="shared" si="3"/>
        <v>4</v>
      </c>
      <c r="I12" s="24" t="str">
        <f t="shared" si="4"/>
        <v/>
      </c>
    </row>
    <row r="13" spans="1:9" ht="16.5" customHeight="1" x14ac:dyDescent="0.35">
      <c r="A13" s="10" t="s">
        <v>32</v>
      </c>
      <c r="B13" s="14">
        <v>3.9899999999999998E-2</v>
      </c>
      <c r="C13" s="14">
        <v>4.3999999999999997E-2</v>
      </c>
      <c r="D13" s="11">
        <v>1000</v>
      </c>
      <c r="E13" s="21">
        <f t="shared" si="0"/>
        <v>1859.758233167177</v>
      </c>
      <c r="F13" s="22">
        <f t="shared" si="1"/>
        <v>112585.49399003062</v>
      </c>
      <c r="G13" s="22">
        <f t="shared" si="2"/>
        <v>12585.49399003062</v>
      </c>
      <c r="H13" s="23">
        <f t="shared" si="3"/>
        <v>6</v>
      </c>
      <c r="I13" s="24" t="str">
        <f t="shared" si="4"/>
        <v/>
      </c>
    </row>
    <row r="14" spans="1:9" ht="16.5" customHeight="1" x14ac:dyDescent="0.35">
      <c r="A14" s="10" t="s">
        <v>33</v>
      </c>
      <c r="B14" s="14">
        <v>3.85E-2</v>
      </c>
      <c r="C14" s="14">
        <v>4.2000000000000003E-2</v>
      </c>
      <c r="D14" s="11">
        <v>500</v>
      </c>
      <c r="E14" s="21">
        <f t="shared" si="0"/>
        <v>1850.6914674546399</v>
      </c>
      <c r="F14" s="22">
        <f t="shared" si="1"/>
        <v>111541.4880472784</v>
      </c>
      <c r="G14" s="22">
        <f t="shared" si="2"/>
        <v>11541.488047278399</v>
      </c>
      <c r="H14" s="23">
        <f t="shared" si="3"/>
        <v>2</v>
      </c>
      <c r="I14" s="24" t="str">
        <f t="shared" si="4"/>
        <v/>
      </c>
    </row>
    <row r="16" spans="1:9" ht="21.75" customHeight="1" x14ac:dyDescent="0.35">
      <c r="A16" s="15" t="s">
        <v>34</v>
      </c>
      <c r="B16" s="15"/>
      <c r="C16" s="15"/>
      <c r="D16" s="15"/>
      <c r="E16" s="15"/>
      <c r="F16" s="15"/>
      <c r="G16" s="15"/>
      <c r="H16" s="15"/>
      <c r="I16" s="15"/>
    </row>
    <row r="17" spans="1:9" ht="25.5" customHeight="1" x14ac:dyDescent="0.35">
      <c r="A17" s="25" t="str">
        <f>INDEX(A9:A14,MATCH(MIN(F9:F14),F9:F14,0))&amp;" – أقل تكلفة إجمالية | توفير "&amp;TEXT(MAX(F9:F14)-MIN(F9:F14),"#,##0")&amp;" ريال عن أغلى عرض"</f>
        <v>بنك الإنماء – أقل تكلفة إجمالية | توفير 1,065 ريال عن أغلى عرض</v>
      </c>
      <c r="B17" s="25"/>
      <c r="C17" s="25"/>
      <c r="D17" s="25"/>
      <c r="E17" s="25"/>
      <c r="F17" s="25"/>
      <c r="G17" s="25"/>
      <c r="H17" s="25"/>
      <c r="I17" s="25"/>
    </row>
    <row r="18" spans="1:9" x14ac:dyDescent="0.35">
      <c r="A18" s="25"/>
      <c r="B18" s="25"/>
      <c r="C18" s="25"/>
      <c r="D18" s="25"/>
      <c r="E18" s="25"/>
      <c r="F18" s="25"/>
      <c r="G18" s="25"/>
      <c r="H18" s="25"/>
      <c r="I18" s="25"/>
    </row>
    <row r="20" spans="1:9" x14ac:dyDescent="0.35">
      <c r="A20" s="16" t="s">
        <v>35</v>
      </c>
    </row>
    <row r="21" spans="1:9" ht="12.75" customHeight="1" x14ac:dyDescent="0.35">
      <c r="A21" s="17" t="s">
        <v>36</v>
      </c>
    </row>
    <row r="22" spans="1:9" ht="12.75" customHeight="1" x14ac:dyDescent="0.35">
      <c r="A22" s="18" t="s">
        <v>37</v>
      </c>
    </row>
    <row r="23" spans="1:9" ht="12.75" customHeight="1" x14ac:dyDescent="0.35">
      <c r="A23" s="19" t="s">
        <v>38</v>
      </c>
    </row>
    <row r="24" spans="1:9" ht="12.75" customHeight="1" x14ac:dyDescent="0.35">
      <c r="A24" s="20" t="s">
        <v>39</v>
      </c>
    </row>
  </sheetData>
  <sheetProtection algorithmName="SHA-512" hashValue="DpW6NyoC6hClKbSi8YxoMj3z0s2kjkJ4CJk1FkFtk50Fio60hsrCJvJI/7HFwMNjS7W2flGofDLFJ47mDrMOKw==" saltValue="XHJ5N6E579TqVkgl+Vr8gA==" spinCount="100000" sheet="1" objects="1" scenarios="1"/>
  <mergeCells count="5">
    <mergeCell ref="A1:I1"/>
    <mergeCell ref="A2:I2"/>
    <mergeCell ref="A4:C4"/>
    <mergeCell ref="A16:I16"/>
    <mergeCell ref="A17:I18"/>
  </mergeCells>
  <pageMargins left="0.75" right="0.75" top="1" bottom="1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29"/>
  <sheetViews>
    <sheetView rightToLeft="1" topLeftCell="A6" zoomScale="71" zoomScaleNormal="100" workbookViewId="0">
      <selection activeCell="A22" sqref="A22:E23"/>
    </sheetView>
  </sheetViews>
  <sheetFormatPr defaultColWidth="8.6328125" defaultRowHeight="14.5" x14ac:dyDescent="0.35"/>
  <cols>
    <col min="1" max="1" width="32" style="7" customWidth="1"/>
    <col min="2" max="2" width="20" style="7" customWidth="1"/>
    <col min="3" max="5" width="10" style="7" customWidth="1"/>
    <col min="6" max="16384" width="8.6328125" style="7"/>
  </cols>
  <sheetData>
    <row r="1" spans="1:5" ht="27.75" customHeight="1" x14ac:dyDescent="0.35">
      <c r="A1" s="6" t="s">
        <v>40</v>
      </c>
      <c r="B1" s="6"/>
      <c r="C1" s="6"/>
      <c r="D1" s="6"/>
      <c r="E1" s="6"/>
    </row>
    <row r="3" spans="1:5" ht="21.75" customHeight="1" x14ac:dyDescent="0.35">
      <c r="A3" s="9" t="s">
        <v>41</v>
      </c>
      <c r="B3" s="9"/>
      <c r="C3" s="9"/>
      <c r="D3" s="9"/>
      <c r="E3" s="9"/>
    </row>
    <row r="4" spans="1:5" ht="16.5" customHeight="1" x14ac:dyDescent="0.35">
      <c r="A4" s="10" t="s">
        <v>42</v>
      </c>
      <c r="B4" s="11">
        <v>100000</v>
      </c>
    </row>
    <row r="5" spans="1:5" ht="16.5" customHeight="1" x14ac:dyDescent="0.35">
      <c r="A5" s="10" t="s">
        <v>20</v>
      </c>
      <c r="B5" s="14">
        <v>3.9E-2</v>
      </c>
    </row>
    <row r="6" spans="1:5" ht="16.5" customHeight="1" x14ac:dyDescent="0.35">
      <c r="A6" s="10" t="s">
        <v>43</v>
      </c>
      <c r="B6" s="11">
        <v>60</v>
      </c>
    </row>
    <row r="7" spans="1:5" ht="16.5" customHeight="1" x14ac:dyDescent="0.35">
      <c r="A7" s="10" t="s">
        <v>44</v>
      </c>
      <c r="B7" s="11">
        <v>1000</v>
      </c>
    </row>
    <row r="8" spans="1:5" ht="16.5" customHeight="1" x14ac:dyDescent="0.35">
      <c r="A8" s="10" t="s">
        <v>45</v>
      </c>
      <c r="B8" s="11">
        <v>2000</v>
      </c>
    </row>
    <row r="10" spans="1:5" ht="21.75" customHeight="1" x14ac:dyDescent="0.35">
      <c r="A10" s="26" t="s">
        <v>46</v>
      </c>
      <c r="B10" s="26"/>
      <c r="C10" s="26"/>
      <c r="D10" s="26"/>
      <c r="E10" s="26"/>
    </row>
    <row r="11" spans="1:5" ht="18" customHeight="1" x14ac:dyDescent="0.35">
      <c r="A11" s="27" t="s">
        <v>23</v>
      </c>
      <c r="B11" s="28">
        <f>IFERROR(PMT(B5/12,B6,-B4),0)</f>
        <v>1837.1428941486949</v>
      </c>
    </row>
    <row r="12" spans="1:5" ht="18" customHeight="1" x14ac:dyDescent="0.35">
      <c r="A12" s="27" t="s">
        <v>47</v>
      </c>
      <c r="B12" s="28">
        <f>B11*B6</f>
        <v>110228.57364892169</v>
      </c>
    </row>
    <row r="13" spans="1:5" ht="18" customHeight="1" x14ac:dyDescent="0.35">
      <c r="A13" s="27" t="s">
        <v>48</v>
      </c>
      <c r="B13" s="28">
        <f>B12-B4</f>
        <v>10228.573648921694</v>
      </c>
    </row>
    <row r="14" spans="1:5" ht="18" customHeight="1" x14ac:dyDescent="0.35">
      <c r="A14" s="27" t="s">
        <v>49</v>
      </c>
      <c r="B14" s="28">
        <f>B7+B8</f>
        <v>3000</v>
      </c>
    </row>
    <row r="15" spans="1:5" ht="18" customHeight="1" x14ac:dyDescent="0.35">
      <c r="A15" s="27" t="s">
        <v>50</v>
      </c>
      <c r="B15" s="28">
        <f>B13+B14</f>
        <v>13228.573648921694</v>
      </c>
    </row>
    <row r="16" spans="1:5" ht="18" customHeight="1" x14ac:dyDescent="0.35">
      <c r="A16" s="27" t="s">
        <v>51</v>
      </c>
      <c r="B16" s="29">
        <f>IF(B4=0,0,B15/B4)</f>
        <v>0.13228573648921693</v>
      </c>
    </row>
    <row r="18" spans="1:5" ht="21.75" customHeight="1" x14ac:dyDescent="0.35">
      <c r="A18" s="9" t="s">
        <v>52</v>
      </c>
      <c r="B18" s="9"/>
      <c r="C18" s="9"/>
      <c r="D18" s="9"/>
      <c r="E18" s="9"/>
    </row>
    <row r="19" spans="1:5" ht="16.5" customHeight="1" x14ac:dyDescent="0.35">
      <c r="A19" s="10" t="s">
        <v>53</v>
      </c>
      <c r="B19" s="11">
        <v>15000</v>
      </c>
    </row>
    <row r="20" spans="1:5" ht="16.5" customHeight="1" x14ac:dyDescent="0.35">
      <c r="A20" s="10" t="s">
        <v>54</v>
      </c>
      <c r="B20" s="11">
        <v>2000</v>
      </c>
    </row>
    <row r="21" spans="1:5" ht="16.5" customHeight="1" x14ac:dyDescent="0.35">
      <c r="A21" s="27" t="s">
        <v>55</v>
      </c>
      <c r="B21" s="30">
        <f>IF(B19=0,0,(B9+B20)/B19)</f>
        <v>0.13333333333333333</v>
      </c>
    </row>
    <row r="22" spans="1:5" ht="25.5" customHeight="1" x14ac:dyDescent="0.35">
      <c r="A22" s="25" t="str">
        <f>IF(B21=0,"أدخل دخلك",IF(B21&lt;=0.33,"✅ آمن – نسبة الاستقطاع "&amp;TEXT(B21,"0%")&amp;" (الحد النظامي 33% للقروض)",IF(B21&lt;=0.45,"⚠️ مرتفع – "&amp;TEXT(B21,"0%")&amp;" (الحد 45% مع السكن)","⛔ يتجاوز الحد النظامي – "&amp;TEXT(B21,"0%"))))</f>
        <v>✅ آمن – نسبة الاستقطاع 13% (الحد النظامي 33% للقروض)</v>
      </c>
      <c r="B22" s="25"/>
      <c r="C22" s="25"/>
      <c r="D22" s="25"/>
      <c r="E22" s="25"/>
    </row>
    <row r="23" spans="1:5" x14ac:dyDescent="0.35">
      <c r="A23" s="25"/>
      <c r="B23" s="25"/>
      <c r="C23" s="25"/>
      <c r="D23" s="25"/>
      <c r="E23" s="25"/>
    </row>
    <row r="25" spans="1:5" x14ac:dyDescent="0.35">
      <c r="A25" s="16" t="s">
        <v>35</v>
      </c>
    </row>
    <row r="26" spans="1:5" ht="12.75" customHeight="1" x14ac:dyDescent="0.35">
      <c r="A26" s="17" t="s">
        <v>36</v>
      </c>
    </row>
    <row r="27" spans="1:5" ht="12.75" customHeight="1" x14ac:dyDescent="0.35">
      <c r="A27" s="18" t="s">
        <v>37</v>
      </c>
    </row>
    <row r="28" spans="1:5" ht="12.75" customHeight="1" x14ac:dyDescent="0.35">
      <c r="A28" s="19" t="s">
        <v>38</v>
      </c>
    </row>
    <row r="29" spans="1:5" ht="12.75" customHeight="1" x14ac:dyDescent="0.35">
      <c r="A29" s="20" t="s">
        <v>39</v>
      </c>
    </row>
  </sheetData>
  <sheetProtection algorithmName="SHA-512" hashValue="0RmDkpK+Om2CHkAKj5hN9f7WsqBnGG/O3OLuU8G7M212KCU2tOYNBUIpm+D/8Vb13w6Rtt55Fd/q290XxtQdlw==" saltValue="Agw9zHtJMQpmuriCENtBbg==" spinCount="100000" sheet="1" objects="1" scenarios="1"/>
  <mergeCells count="5">
    <mergeCell ref="A1:E1"/>
    <mergeCell ref="A3:E3"/>
    <mergeCell ref="A10:E10"/>
    <mergeCell ref="A18:E18"/>
    <mergeCell ref="A22:E23"/>
  </mergeCells>
  <pageMargins left="0.75" right="0.75" top="1" bottom="1" header="0.511811023622047" footer="0.511811023622047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G22"/>
  <sheetViews>
    <sheetView rightToLeft="1" zoomScale="83" zoomScaleNormal="100" workbookViewId="0">
      <selection activeCell="E14" sqref="E14:G14"/>
    </sheetView>
  </sheetViews>
  <sheetFormatPr defaultColWidth="8.6328125" defaultRowHeight="14.5" x14ac:dyDescent="0.35"/>
  <cols>
    <col min="1" max="1" width="18" style="7" customWidth="1"/>
    <col min="2" max="2" width="14" style="7" customWidth="1"/>
    <col min="3" max="4" width="10" style="7" customWidth="1"/>
    <col min="5" max="5" width="16" style="7" customWidth="1"/>
    <col min="6" max="6" width="12" style="7" customWidth="1"/>
    <col min="7" max="16384" width="8.6328125" style="7"/>
  </cols>
  <sheetData>
    <row r="1" spans="1:7" ht="27.75" customHeight="1" x14ac:dyDescent="0.35">
      <c r="A1" s="6" t="s">
        <v>56</v>
      </c>
      <c r="B1" s="6"/>
      <c r="C1" s="6"/>
      <c r="D1" s="6"/>
      <c r="E1" s="6"/>
      <c r="F1" s="6"/>
    </row>
    <row r="3" spans="1:7" ht="21.75" customHeight="1" x14ac:dyDescent="0.35">
      <c r="A3" s="9" t="s">
        <v>57</v>
      </c>
      <c r="B3" s="9"/>
      <c r="C3" s="9"/>
      <c r="D3" s="9" t="s">
        <v>58</v>
      </c>
      <c r="E3" s="9"/>
      <c r="F3" s="9"/>
    </row>
    <row r="4" spans="1:7" ht="18" customHeight="1" x14ac:dyDescent="0.35">
      <c r="A4" s="10" t="s">
        <v>59</v>
      </c>
      <c r="B4" s="11">
        <v>120000</v>
      </c>
      <c r="D4" s="13" t="s">
        <v>60</v>
      </c>
      <c r="E4" s="13" t="s">
        <v>61</v>
      </c>
      <c r="F4" s="13" t="s">
        <v>62</v>
      </c>
    </row>
    <row r="5" spans="1:7" ht="16.5" customHeight="1" x14ac:dyDescent="0.35">
      <c r="A5" s="10" t="s">
        <v>63</v>
      </c>
      <c r="B5" s="11">
        <v>24000</v>
      </c>
      <c r="D5" s="10" t="s">
        <v>64</v>
      </c>
      <c r="E5" s="31">
        <v>4.4999999999999998E-2</v>
      </c>
      <c r="F5" s="31">
        <v>3.9E-2</v>
      </c>
    </row>
    <row r="6" spans="1:7" ht="16.5" customHeight="1" x14ac:dyDescent="0.35">
      <c r="A6" s="10" t="s">
        <v>42</v>
      </c>
      <c r="B6" s="22">
        <f>B4-B5</f>
        <v>96000</v>
      </c>
      <c r="D6" s="10" t="s">
        <v>65</v>
      </c>
      <c r="E6" s="22">
        <f>IFERROR(PMT(E5/12,$B$7,-$B$6),0)</f>
        <v>1789.7298471855984</v>
      </c>
      <c r="F6" s="22">
        <f>IFERROR(PMT(F5/12,$B$7,-$B$6),0)</f>
        <v>1763.6571783827471</v>
      </c>
    </row>
    <row r="7" spans="1:7" ht="16.5" customHeight="1" x14ac:dyDescent="0.35">
      <c r="A7" s="10" t="s">
        <v>43</v>
      </c>
      <c r="B7" s="12">
        <v>60</v>
      </c>
      <c r="D7" s="10" t="s">
        <v>66</v>
      </c>
      <c r="E7" s="11">
        <v>0</v>
      </c>
      <c r="F7" s="11">
        <v>12000</v>
      </c>
    </row>
    <row r="9" spans="1:7" ht="21.75" customHeight="1" x14ac:dyDescent="0.35">
      <c r="A9" s="26" t="s">
        <v>67</v>
      </c>
      <c r="B9" s="26"/>
      <c r="C9" s="26"/>
      <c r="D9" s="26"/>
      <c r="E9" s="26"/>
      <c r="F9" s="26"/>
    </row>
    <row r="10" spans="1:7" ht="18" customHeight="1" x14ac:dyDescent="0.35">
      <c r="A10" s="13" t="s">
        <v>60</v>
      </c>
      <c r="B10" s="32" t="s">
        <v>68</v>
      </c>
      <c r="C10" s="32"/>
      <c r="E10" s="32" t="s">
        <v>69</v>
      </c>
      <c r="F10" s="32"/>
    </row>
    <row r="11" spans="1:7" ht="18" customHeight="1" x14ac:dyDescent="0.35">
      <c r="A11" s="33" t="s">
        <v>70</v>
      </c>
      <c r="B11" s="34">
        <f>E6*B7</f>
        <v>107383.79083113591</v>
      </c>
      <c r="C11" s="34"/>
      <c r="D11" s="34"/>
      <c r="E11" s="34">
        <f>F6*B7</f>
        <v>105819.43070296483</v>
      </c>
      <c r="F11" s="34"/>
      <c r="G11" s="34"/>
    </row>
    <row r="12" spans="1:7" ht="18" customHeight="1" x14ac:dyDescent="0.35">
      <c r="A12" s="33" t="s">
        <v>71</v>
      </c>
      <c r="B12" s="34">
        <f>B5</f>
        <v>24000</v>
      </c>
      <c r="C12" s="34"/>
      <c r="D12" s="34"/>
      <c r="E12" s="34">
        <f>B5</f>
        <v>24000</v>
      </c>
      <c r="F12" s="34"/>
      <c r="G12" s="34"/>
    </row>
    <row r="13" spans="1:7" ht="18" customHeight="1" x14ac:dyDescent="0.35">
      <c r="A13" s="33" t="s">
        <v>66</v>
      </c>
      <c r="B13" s="34">
        <f>E7</f>
        <v>0</v>
      </c>
      <c r="C13" s="34"/>
      <c r="D13" s="34"/>
      <c r="E13" s="34">
        <f>F7</f>
        <v>12000</v>
      </c>
      <c r="F13" s="34"/>
      <c r="G13" s="34"/>
    </row>
    <row r="14" spans="1:7" ht="18" customHeight="1" x14ac:dyDescent="0.35">
      <c r="A14" s="27" t="s">
        <v>72</v>
      </c>
      <c r="B14" s="35">
        <f>B11+B12+B13</f>
        <v>131383.79083113591</v>
      </c>
      <c r="C14" s="35"/>
      <c r="D14" s="35"/>
      <c r="E14" s="35">
        <f>E11+E12+E13</f>
        <v>141819.43070296483</v>
      </c>
      <c r="F14" s="35"/>
      <c r="G14" s="35"/>
    </row>
    <row r="15" spans="1:7" ht="25.5" customHeight="1" x14ac:dyDescent="0.35">
      <c r="A15" s="25" t="str">
        <f>IF(B14&lt;E14,"✅ المرابحة أوفر بـ "&amp;TEXT(E14-B14,"#,##0")&amp;" ريال","✅ الإيجار المنتهي أوفر بـ "&amp;TEXT(B14-E14,"#,##0")&amp;" ريال")</f>
        <v>✅ المرابحة أوفر بـ 10,436 ريال</v>
      </c>
      <c r="B15" s="25"/>
      <c r="C15" s="25"/>
      <c r="D15" s="25"/>
      <c r="E15" s="25"/>
      <c r="F15" s="25"/>
    </row>
    <row r="16" spans="1:7" x14ac:dyDescent="0.35">
      <c r="A16" s="25"/>
      <c r="B16" s="25"/>
      <c r="C16" s="25"/>
      <c r="D16" s="25"/>
      <c r="E16" s="25"/>
      <c r="F16" s="25"/>
    </row>
    <row r="18" spans="1:1" x14ac:dyDescent="0.35">
      <c r="A18" s="16" t="s">
        <v>35</v>
      </c>
    </row>
    <row r="19" spans="1:1" ht="12.75" customHeight="1" x14ac:dyDescent="0.35">
      <c r="A19" s="17" t="s">
        <v>36</v>
      </c>
    </row>
    <row r="20" spans="1:1" ht="12.75" customHeight="1" x14ac:dyDescent="0.35">
      <c r="A20" s="18" t="s">
        <v>37</v>
      </c>
    </row>
    <row r="21" spans="1:1" ht="12.75" customHeight="1" x14ac:dyDescent="0.35">
      <c r="A21" s="19" t="s">
        <v>38</v>
      </c>
    </row>
    <row r="22" spans="1:1" ht="12.75" customHeight="1" x14ac:dyDescent="0.35">
      <c r="A22" s="20" t="s">
        <v>39</v>
      </c>
    </row>
  </sheetData>
  <sheetProtection algorithmName="SHA-512" hashValue="PMfQDSbCXFFRZKX4lTspqAeWQEAiSKvZYik+mH9htCBbNdsAZC/BsF0Z6aSkb52zqF/3ey8792L/kq2tOTFc4A==" saltValue="skuKQub2+1nVhYL9J0dUpQ==" spinCount="100000" sheet="1" objects="1" scenarios="1"/>
  <mergeCells count="15">
    <mergeCell ref="B14:D14"/>
    <mergeCell ref="E14:G14"/>
    <mergeCell ref="A15:F16"/>
    <mergeCell ref="B11:D11"/>
    <mergeCell ref="E11:G11"/>
    <mergeCell ref="B12:D12"/>
    <mergeCell ref="E12:G12"/>
    <mergeCell ref="B13:D13"/>
    <mergeCell ref="E13:G13"/>
    <mergeCell ref="A1:F1"/>
    <mergeCell ref="A3:C3"/>
    <mergeCell ref="D3:F3"/>
    <mergeCell ref="A9:F9"/>
    <mergeCell ref="B10:C10"/>
    <mergeCell ref="E10:F10"/>
  </mergeCells>
  <pageMargins left="0.75" right="0.75" top="1" bottom="1" header="0.511811023622047" footer="0.511811023622047"/>
  <pageSetup paperSize="9"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E23"/>
  <sheetViews>
    <sheetView rightToLeft="1" zoomScaleNormal="100" workbookViewId="0">
      <selection activeCell="B16" sqref="B16"/>
    </sheetView>
  </sheetViews>
  <sheetFormatPr defaultColWidth="8.6328125" defaultRowHeight="14.5" x14ac:dyDescent="0.35"/>
  <cols>
    <col min="1" max="1" width="36" style="7" customWidth="1"/>
    <col min="2" max="2" width="18" style="7" customWidth="1"/>
    <col min="3" max="5" width="10" style="7" customWidth="1"/>
    <col min="6" max="16384" width="8.6328125" style="7"/>
  </cols>
  <sheetData>
    <row r="1" spans="1:5" ht="27.75" customHeight="1" x14ac:dyDescent="0.35">
      <c r="A1" s="6" t="s">
        <v>73</v>
      </c>
      <c r="B1" s="6"/>
      <c r="C1" s="6"/>
      <c r="D1" s="6"/>
      <c r="E1" s="6"/>
    </row>
    <row r="2" spans="1:5" ht="15" customHeight="1" x14ac:dyDescent="0.35">
      <c r="A2" s="8" t="s">
        <v>74</v>
      </c>
      <c r="B2" s="8"/>
      <c r="C2" s="8"/>
      <c r="D2" s="8"/>
      <c r="E2" s="8"/>
    </row>
    <row r="4" spans="1:5" ht="21.75" customHeight="1" x14ac:dyDescent="0.35">
      <c r="A4" s="9" t="s">
        <v>75</v>
      </c>
      <c r="B4" s="9"/>
      <c r="C4" s="9"/>
      <c r="D4" s="9"/>
      <c r="E4" s="9"/>
    </row>
    <row r="5" spans="1:5" ht="16.5" customHeight="1" x14ac:dyDescent="0.35">
      <c r="A5" s="10" t="s">
        <v>76</v>
      </c>
      <c r="B5" s="11">
        <v>100000</v>
      </c>
    </row>
    <row r="6" spans="1:5" ht="16.5" customHeight="1" x14ac:dyDescent="0.35">
      <c r="A6" s="10" t="s">
        <v>20</v>
      </c>
      <c r="B6" s="14">
        <v>3.9E-2</v>
      </c>
    </row>
    <row r="7" spans="1:5" ht="16.5" customHeight="1" x14ac:dyDescent="0.35">
      <c r="A7" s="10" t="s">
        <v>77</v>
      </c>
      <c r="B7" s="11">
        <v>60</v>
      </c>
    </row>
    <row r="8" spans="1:5" ht="16.5" customHeight="1" x14ac:dyDescent="0.35">
      <c r="A8" s="10" t="s">
        <v>78</v>
      </c>
      <c r="B8" s="11">
        <v>24</v>
      </c>
    </row>
    <row r="9" spans="1:5" ht="16.5" customHeight="1" x14ac:dyDescent="0.35">
      <c r="A9" s="10" t="s">
        <v>23</v>
      </c>
      <c r="B9" s="21">
        <f>IFERROR(PMT(B6/12,B7,-B5),0)</f>
        <v>1837.1428941486949</v>
      </c>
    </row>
    <row r="11" spans="1:5" ht="21.75" customHeight="1" x14ac:dyDescent="0.35">
      <c r="A11" s="26" t="s">
        <v>79</v>
      </c>
      <c r="B11" s="26"/>
      <c r="C11" s="26"/>
      <c r="D11" s="26"/>
      <c r="E11" s="26"/>
    </row>
    <row r="12" spans="1:5" ht="18" customHeight="1" x14ac:dyDescent="0.35">
      <c r="A12" s="33" t="s">
        <v>80</v>
      </c>
      <c r="B12" s="23">
        <f>B7-B8</f>
        <v>36</v>
      </c>
    </row>
    <row r="13" spans="1:5" ht="18" customHeight="1" x14ac:dyDescent="0.35">
      <c r="A13" s="33" t="s">
        <v>81</v>
      </c>
      <c r="B13" s="22">
        <f>IFERROR(B5-CUMPRINC(B6/12,B7,B5,1,B8,0)*-1,B5*(B7-B8)/B7)</f>
        <v>62319.292187133375</v>
      </c>
    </row>
    <row r="14" spans="1:5" ht="18" customHeight="1" x14ac:dyDescent="0.35">
      <c r="A14" s="33" t="s">
        <v>82</v>
      </c>
      <c r="B14" s="22">
        <f>B9*(B7-B8)</f>
        <v>66137.144189353014</v>
      </c>
    </row>
    <row r="15" spans="1:5" ht="18" customHeight="1" x14ac:dyDescent="0.35">
      <c r="A15" s="33" t="s">
        <v>83</v>
      </c>
      <c r="B15" s="22">
        <f>B13*B6/12*3</f>
        <v>607.61309882455043</v>
      </c>
    </row>
    <row r="16" spans="1:5" ht="18" customHeight="1" x14ac:dyDescent="0.35">
      <c r="A16" s="27" t="s">
        <v>84</v>
      </c>
      <c r="B16" s="28">
        <f>B13+B15</f>
        <v>62926.905285957924</v>
      </c>
    </row>
    <row r="17" spans="1:2" ht="18" customHeight="1" x14ac:dyDescent="0.35">
      <c r="A17" s="33" t="s">
        <v>85</v>
      </c>
      <c r="B17" s="28">
        <f>B14-B16</f>
        <v>3210.2389033950894</v>
      </c>
    </row>
    <row r="19" spans="1:2" x14ac:dyDescent="0.35">
      <c r="A19" s="16" t="s">
        <v>35</v>
      </c>
    </row>
    <row r="20" spans="1:2" ht="12.75" customHeight="1" x14ac:dyDescent="0.35">
      <c r="A20" s="17" t="s">
        <v>36</v>
      </c>
    </row>
    <row r="21" spans="1:2" ht="12.75" customHeight="1" x14ac:dyDescent="0.35">
      <c r="A21" s="18" t="s">
        <v>37</v>
      </c>
    </row>
    <row r="22" spans="1:2" ht="12.75" customHeight="1" x14ac:dyDescent="0.35">
      <c r="A22" s="19" t="s">
        <v>38</v>
      </c>
    </row>
    <row r="23" spans="1:2" ht="12.75" customHeight="1" x14ac:dyDescent="0.35">
      <c r="A23" s="20" t="s">
        <v>39</v>
      </c>
    </row>
  </sheetData>
  <sheetProtection algorithmName="SHA-512" hashValue="MgJnG9b/LA+ihw8fVPqxMkB8NAPTqvVrwUjlaQRTCywy0gt+9GzueFK2cUbJ1vfH8kBTANVvT0u67cMym+TgOg==" saltValue="k/c20/0Kyf7f/ZAFZ6/spw==" spinCount="100000" sheet="1" objects="1" scenarios="1"/>
  <mergeCells count="4">
    <mergeCell ref="A1:E1"/>
    <mergeCell ref="A2:E2"/>
    <mergeCell ref="A4:E4"/>
    <mergeCell ref="A11:E11"/>
  </mergeCells>
  <pageMargins left="0.75" right="0.75" top="1" bottom="1" header="0.511811023622047" footer="0.511811023622047"/>
  <pageSetup paperSize="9" orientation="portrait" horizontalDpi="300" verticalDpi="30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F72"/>
  <sheetViews>
    <sheetView rightToLeft="1" zoomScale="90" zoomScaleNormal="100" workbookViewId="0">
      <selection activeCell="B6" sqref="B6:F65"/>
    </sheetView>
  </sheetViews>
  <sheetFormatPr defaultColWidth="8.6328125" defaultRowHeight="14.5" x14ac:dyDescent="0.35"/>
  <cols>
    <col min="1" max="1" width="10" style="7" customWidth="1"/>
    <col min="2" max="2" width="18" style="7" customWidth="1"/>
    <col min="3" max="5" width="16" style="7" customWidth="1"/>
    <col min="6" max="6" width="18" style="7" customWidth="1"/>
    <col min="7" max="16384" width="8.6328125" style="7"/>
  </cols>
  <sheetData>
    <row r="1" spans="1:6" ht="27.75" customHeight="1" x14ac:dyDescent="0.35">
      <c r="A1" s="6" t="s">
        <v>86</v>
      </c>
      <c r="B1" s="6"/>
      <c r="C1" s="6"/>
      <c r="D1" s="6"/>
      <c r="E1" s="6"/>
      <c r="F1" s="6"/>
    </row>
    <row r="2" spans="1:6" ht="16.5" customHeight="1" x14ac:dyDescent="0.35">
      <c r="A2" s="10" t="s">
        <v>42</v>
      </c>
      <c r="B2" s="11">
        <v>100000</v>
      </c>
      <c r="D2" s="10" t="s">
        <v>20</v>
      </c>
      <c r="E2" s="14">
        <v>3.9E-2</v>
      </c>
    </row>
    <row r="3" spans="1:6" ht="16.5" customHeight="1" x14ac:dyDescent="0.35">
      <c r="A3" s="10" t="s">
        <v>87</v>
      </c>
      <c r="B3" s="12">
        <v>60</v>
      </c>
      <c r="D3" s="10" t="s">
        <v>23</v>
      </c>
      <c r="E3" s="21">
        <f>IFERROR(PMT(E2/12,B3,-B2),0)</f>
        <v>1837.1428941486949</v>
      </c>
    </row>
    <row r="5" spans="1:6" ht="19.5" customHeight="1" x14ac:dyDescent="0.35">
      <c r="A5" s="13" t="s">
        <v>88</v>
      </c>
      <c r="B5" s="13" t="s">
        <v>89</v>
      </c>
      <c r="C5" s="13" t="s">
        <v>90</v>
      </c>
      <c r="D5" s="13" t="s">
        <v>91</v>
      </c>
      <c r="E5" s="13" t="s">
        <v>92</v>
      </c>
      <c r="F5" s="13" t="s">
        <v>93</v>
      </c>
    </row>
    <row r="6" spans="1:6" ht="13.5" customHeight="1" x14ac:dyDescent="0.35">
      <c r="A6" s="36">
        <v>1</v>
      </c>
      <c r="B6" s="38">
        <f>B2</f>
        <v>100000</v>
      </c>
      <c r="C6" s="38">
        <f t="shared" ref="C6:C37" si="0">IF(B6&lt;=0,0,$E$3)</f>
        <v>1837.1428941486949</v>
      </c>
      <c r="D6" s="38">
        <f t="shared" ref="D6:D37" si="1">B6*$E$2/12</f>
        <v>325</v>
      </c>
      <c r="E6" s="38">
        <f t="shared" ref="E6:E37" si="2">C6-D6</f>
        <v>1512.1428941486949</v>
      </c>
      <c r="F6" s="38">
        <f t="shared" ref="F6:F37" si="3">MAX(B6-E6,0)</f>
        <v>98487.857105851304</v>
      </c>
    </row>
    <row r="7" spans="1:6" ht="13.5" customHeight="1" x14ac:dyDescent="0.35">
      <c r="A7" s="37">
        <v>2</v>
      </c>
      <c r="B7" s="39">
        <f t="shared" ref="B7:B38" si="4">F6</f>
        <v>98487.857105851304</v>
      </c>
      <c r="C7" s="39">
        <f t="shared" si="0"/>
        <v>1837.1428941486949</v>
      </c>
      <c r="D7" s="39">
        <f t="shared" si="1"/>
        <v>320.08553559401673</v>
      </c>
      <c r="E7" s="39">
        <f t="shared" si="2"/>
        <v>1517.0573585546781</v>
      </c>
      <c r="F7" s="39">
        <f t="shared" si="3"/>
        <v>96970.799747296624</v>
      </c>
    </row>
    <row r="8" spans="1:6" ht="13.5" customHeight="1" x14ac:dyDescent="0.35">
      <c r="A8" s="36">
        <v>3</v>
      </c>
      <c r="B8" s="38">
        <f t="shared" si="4"/>
        <v>96970.799747296624</v>
      </c>
      <c r="C8" s="38">
        <f t="shared" si="0"/>
        <v>1837.1428941486949</v>
      </c>
      <c r="D8" s="38">
        <f t="shared" si="1"/>
        <v>315.15509917871401</v>
      </c>
      <c r="E8" s="38">
        <f t="shared" si="2"/>
        <v>1521.987794969981</v>
      </c>
      <c r="F8" s="38">
        <f t="shared" si="3"/>
        <v>95448.811952326636</v>
      </c>
    </row>
    <row r="9" spans="1:6" ht="13.5" customHeight="1" x14ac:dyDescent="0.35">
      <c r="A9" s="37">
        <v>4</v>
      </c>
      <c r="B9" s="39">
        <f t="shared" si="4"/>
        <v>95448.811952326636</v>
      </c>
      <c r="C9" s="39">
        <f t="shared" si="0"/>
        <v>1837.1428941486949</v>
      </c>
      <c r="D9" s="39">
        <f t="shared" si="1"/>
        <v>310.20863884506156</v>
      </c>
      <c r="E9" s="39">
        <f t="shared" si="2"/>
        <v>1526.9342553036333</v>
      </c>
      <c r="F9" s="39">
        <f t="shared" si="3"/>
        <v>93921.877697022996</v>
      </c>
    </row>
    <row r="10" spans="1:6" ht="13.5" customHeight="1" x14ac:dyDescent="0.35">
      <c r="A10" s="36">
        <v>5</v>
      </c>
      <c r="B10" s="38">
        <f t="shared" si="4"/>
        <v>93921.877697022996</v>
      </c>
      <c r="C10" s="38">
        <f t="shared" si="0"/>
        <v>1837.1428941486949</v>
      </c>
      <c r="D10" s="38">
        <f t="shared" si="1"/>
        <v>305.24610251532471</v>
      </c>
      <c r="E10" s="38">
        <f t="shared" si="2"/>
        <v>1531.8967916333702</v>
      </c>
      <c r="F10" s="38">
        <f t="shared" si="3"/>
        <v>92389.980905389632</v>
      </c>
    </row>
    <row r="11" spans="1:6" ht="13.5" customHeight="1" x14ac:dyDescent="0.35">
      <c r="A11" s="37">
        <v>6</v>
      </c>
      <c r="B11" s="39">
        <f t="shared" si="4"/>
        <v>92389.980905389632</v>
      </c>
      <c r="C11" s="39">
        <f t="shared" si="0"/>
        <v>1837.1428941486949</v>
      </c>
      <c r="D11" s="39">
        <f t="shared" si="1"/>
        <v>300.26743794251632</v>
      </c>
      <c r="E11" s="39">
        <f t="shared" si="2"/>
        <v>1536.8754562061786</v>
      </c>
      <c r="F11" s="39">
        <f t="shared" si="3"/>
        <v>90853.105449183451</v>
      </c>
    </row>
    <row r="12" spans="1:6" ht="13.5" customHeight="1" x14ac:dyDescent="0.35">
      <c r="A12" s="36">
        <v>7</v>
      </c>
      <c r="B12" s="38">
        <f t="shared" si="4"/>
        <v>90853.105449183451</v>
      </c>
      <c r="C12" s="38">
        <f t="shared" si="0"/>
        <v>1837.1428941486949</v>
      </c>
      <c r="D12" s="38">
        <f t="shared" si="1"/>
        <v>295.27259270984621</v>
      </c>
      <c r="E12" s="38">
        <f t="shared" si="2"/>
        <v>1541.8703014388489</v>
      </c>
      <c r="F12" s="38">
        <f t="shared" si="3"/>
        <v>89311.235147744606</v>
      </c>
    </row>
    <row r="13" spans="1:6" ht="13.5" customHeight="1" x14ac:dyDescent="0.35">
      <c r="A13" s="37">
        <v>8</v>
      </c>
      <c r="B13" s="39">
        <f t="shared" si="4"/>
        <v>89311.235147744606</v>
      </c>
      <c r="C13" s="39">
        <f t="shared" si="0"/>
        <v>1837.1428941486949</v>
      </c>
      <c r="D13" s="39">
        <f t="shared" si="1"/>
        <v>290.26151423017001</v>
      </c>
      <c r="E13" s="39">
        <f t="shared" si="2"/>
        <v>1546.881379918525</v>
      </c>
      <c r="F13" s="39">
        <f t="shared" si="3"/>
        <v>87764.353767826076</v>
      </c>
    </row>
    <row r="14" spans="1:6" ht="13.5" customHeight="1" x14ac:dyDescent="0.35">
      <c r="A14" s="36">
        <v>9</v>
      </c>
      <c r="B14" s="38">
        <f t="shared" si="4"/>
        <v>87764.353767826076</v>
      </c>
      <c r="C14" s="38">
        <f t="shared" si="0"/>
        <v>1837.1428941486949</v>
      </c>
      <c r="D14" s="38">
        <f t="shared" si="1"/>
        <v>285.23414974543476</v>
      </c>
      <c r="E14" s="38">
        <f t="shared" si="2"/>
        <v>1551.9087444032602</v>
      </c>
      <c r="F14" s="38">
        <f t="shared" si="3"/>
        <v>86212.445023422813</v>
      </c>
    </row>
    <row r="15" spans="1:6" ht="13.5" customHeight="1" x14ac:dyDescent="0.35">
      <c r="A15" s="37">
        <v>10</v>
      </c>
      <c r="B15" s="39">
        <f t="shared" si="4"/>
        <v>86212.445023422813</v>
      </c>
      <c r="C15" s="39">
        <f t="shared" si="0"/>
        <v>1837.1428941486949</v>
      </c>
      <c r="D15" s="39">
        <f t="shared" si="1"/>
        <v>280.19044632612412</v>
      </c>
      <c r="E15" s="39">
        <f t="shared" si="2"/>
        <v>1556.9524478225708</v>
      </c>
      <c r="F15" s="39">
        <f t="shared" si="3"/>
        <v>84655.492575600249</v>
      </c>
    </row>
    <row r="16" spans="1:6" ht="13.5" customHeight="1" x14ac:dyDescent="0.35">
      <c r="A16" s="36">
        <v>11</v>
      </c>
      <c r="B16" s="38">
        <f t="shared" si="4"/>
        <v>84655.492575600249</v>
      </c>
      <c r="C16" s="38">
        <f t="shared" si="0"/>
        <v>1837.1428941486949</v>
      </c>
      <c r="D16" s="38">
        <f t="shared" si="1"/>
        <v>275.13035087070079</v>
      </c>
      <c r="E16" s="38">
        <f t="shared" si="2"/>
        <v>1562.0125432779942</v>
      </c>
      <c r="F16" s="38">
        <f t="shared" si="3"/>
        <v>83093.480032322259</v>
      </c>
    </row>
    <row r="17" spans="1:6" ht="13.5" customHeight="1" x14ac:dyDescent="0.35">
      <c r="A17" s="37">
        <v>12</v>
      </c>
      <c r="B17" s="39">
        <f t="shared" si="4"/>
        <v>83093.480032322259</v>
      </c>
      <c r="C17" s="39">
        <f t="shared" si="0"/>
        <v>1837.1428941486949</v>
      </c>
      <c r="D17" s="39">
        <f t="shared" si="1"/>
        <v>270.05381010504738</v>
      </c>
      <c r="E17" s="39">
        <f t="shared" si="2"/>
        <v>1567.0890840436475</v>
      </c>
      <c r="F17" s="39">
        <f t="shared" si="3"/>
        <v>81526.390948278611</v>
      </c>
    </row>
    <row r="18" spans="1:6" ht="13.5" customHeight="1" x14ac:dyDescent="0.35">
      <c r="A18" s="36">
        <v>13</v>
      </c>
      <c r="B18" s="38">
        <f t="shared" si="4"/>
        <v>81526.390948278611</v>
      </c>
      <c r="C18" s="38">
        <f t="shared" si="0"/>
        <v>1837.1428941486949</v>
      </c>
      <c r="D18" s="38">
        <f t="shared" si="1"/>
        <v>264.96077058190548</v>
      </c>
      <c r="E18" s="38">
        <f t="shared" si="2"/>
        <v>1572.1821235667894</v>
      </c>
      <c r="F18" s="38">
        <f t="shared" si="3"/>
        <v>79954.208824711823</v>
      </c>
    </row>
    <row r="19" spans="1:6" ht="13.5" customHeight="1" x14ac:dyDescent="0.35">
      <c r="A19" s="37">
        <v>14</v>
      </c>
      <c r="B19" s="39">
        <f t="shared" si="4"/>
        <v>79954.208824711823</v>
      </c>
      <c r="C19" s="39">
        <f t="shared" si="0"/>
        <v>1837.1428941486949</v>
      </c>
      <c r="D19" s="39">
        <f t="shared" si="1"/>
        <v>259.85117868031341</v>
      </c>
      <c r="E19" s="39">
        <f t="shared" si="2"/>
        <v>1577.2917154683814</v>
      </c>
      <c r="F19" s="39">
        <f t="shared" si="3"/>
        <v>78376.917109243441</v>
      </c>
    </row>
    <row r="20" spans="1:6" ht="13.5" customHeight="1" x14ac:dyDescent="0.35">
      <c r="A20" s="36">
        <v>15</v>
      </c>
      <c r="B20" s="38">
        <f t="shared" si="4"/>
        <v>78376.917109243441</v>
      </c>
      <c r="C20" s="38">
        <f t="shared" si="0"/>
        <v>1837.1428941486949</v>
      </c>
      <c r="D20" s="38">
        <f t="shared" si="1"/>
        <v>254.7249806050412</v>
      </c>
      <c r="E20" s="38">
        <f t="shared" si="2"/>
        <v>1582.4179135436539</v>
      </c>
      <c r="F20" s="38">
        <f t="shared" si="3"/>
        <v>76794.499195699784</v>
      </c>
    </row>
    <row r="21" spans="1:6" ht="13.5" customHeight="1" x14ac:dyDescent="0.35">
      <c r="A21" s="37">
        <v>16</v>
      </c>
      <c r="B21" s="39">
        <f t="shared" si="4"/>
        <v>76794.499195699784</v>
      </c>
      <c r="C21" s="39">
        <f t="shared" si="0"/>
        <v>1837.1428941486949</v>
      </c>
      <c r="D21" s="39">
        <f t="shared" si="1"/>
        <v>249.58212238602428</v>
      </c>
      <c r="E21" s="39">
        <f t="shared" si="2"/>
        <v>1587.5607717626706</v>
      </c>
      <c r="F21" s="39">
        <f t="shared" si="3"/>
        <v>75206.938423937114</v>
      </c>
    </row>
    <row r="22" spans="1:6" ht="13.5" customHeight="1" x14ac:dyDescent="0.35">
      <c r="A22" s="36">
        <v>17</v>
      </c>
      <c r="B22" s="38">
        <f t="shared" si="4"/>
        <v>75206.938423937114</v>
      </c>
      <c r="C22" s="38">
        <f t="shared" si="0"/>
        <v>1837.1428941486949</v>
      </c>
      <c r="D22" s="38">
        <f t="shared" si="1"/>
        <v>244.42254987779563</v>
      </c>
      <c r="E22" s="38">
        <f t="shared" si="2"/>
        <v>1592.7203442708992</v>
      </c>
      <c r="F22" s="38">
        <f t="shared" si="3"/>
        <v>73614.218079666214</v>
      </c>
    </row>
    <row r="23" spans="1:6" ht="13.5" customHeight="1" x14ac:dyDescent="0.35">
      <c r="A23" s="37">
        <v>18</v>
      </c>
      <c r="B23" s="39">
        <f t="shared" si="4"/>
        <v>73614.218079666214</v>
      </c>
      <c r="C23" s="39">
        <f t="shared" si="0"/>
        <v>1837.1428941486949</v>
      </c>
      <c r="D23" s="39">
        <f t="shared" si="1"/>
        <v>239.24620875891517</v>
      </c>
      <c r="E23" s="39">
        <f t="shared" si="2"/>
        <v>1597.8966853897798</v>
      </c>
      <c r="F23" s="39">
        <f t="shared" si="3"/>
        <v>72016.321394276441</v>
      </c>
    </row>
    <row r="24" spans="1:6" ht="13.5" customHeight="1" x14ac:dyDescent="0.35">
      <c r="A24" s="36">
        <v>19</v>
      </c>
      <c r="B24" s="38">
        <f t="shared" si="4"/>
        <v>72016.321394276441</v>
      </c>
      <c r="C24" s="38">
        <f t="shared" si="0"/>
        <v>1837.1428941486949</v>
      </c>
      <c r="D24" s="38">
        <f t="shared" si="1"/>
        <v>234.05304453139843</v>
      </c>
      <c r="E24" s="38">
        <f t="shared" si="2"/>
        <v>1603.0898496172965</v>
      </c>
      <c r="F24" s="38">
        <f t="shared" si="3"/>
        <v>70413.231544659138</v>
      </c>
    </row>
    <row r="25" spans="1:6" ht="13.5" customHeight="1" x14ac:dyDescent="0.35">
      <c r="A25" s="37">
        <v>20</v>
      </c>
      <c r="B25" s="39">
        <f t="shared" si="4"/>
        <v>70413.231544659138</v>
      </c>
      <c r="C25" s="39">
        <f t="shared" si="0"/>
        <v>1837.1428941486949</v>
      </c>
      <c r="D25" s="39">
        <f t="shared" si="1"/>
        <v>228.84300252014222</v>
      </c>
      <c r="E25" s="39">
        <f t="shared" si="2"/>
        <v>1608.2998916285528</v>
      </c>
      <c r="F25" s="39">
        <f t="shared" si="3"/>
        <v>68804.93165303058</v>
      </c>
    </row>
    <row r="26" spans="1:6" ht="13.5" customHeight="1" x14ac:dyDescent="0.35">
      <c r="A26" s="36">
        <v>21</v>
      </c>
      <c r="B26" s="38">
        <f t="shared" si="4"/>
        <v>68804.93165303058</v>
      </c>
      <c r="C26" s="38">
        <f t="shared" si="0"/>
        <v>1837.1428941486949</v>
      </c>
      <c r="D26" s="38">
        <f t="shared" si="1"/>
        <v>223.61602787234938</v>
      </c>
      <c r="E26" s="38">
        <f t="shared" si="2"/>
        <v>1613.5268662763456</v>
      </c>
      <c r="F26" s="38">
        <f t="shared" si="3"/>
        <v>67191.404786754239</v>
      </c>
    </row>
    <row r="27" spans="1:6" ht="13.5" customHeight="1" x14ac:dyDescent="0.35">
      <c r="A27" s="37">
        <v>22</v>
      </c>
      <c r="B27" s="39">
        <f t="shared" si="4"/>
        <v>67191.404786754239</v>
      </c>
      <c r="C27" s="39">
        <f t="shared" si="0"/>
        <v>1837.1428941486949</v>
      </c>
      <c r="D27" s="39">
        <f t="shared" si="1"/>
        <v>218.37206555695127</v>
      </c>
      <c r="E27" s="39">
        <f t="shared" si="2"/>
        <v>1618.7708285917438</v>
      </c>
      <c r="F27" s="39">
        <f t="shared" si="3"/>
        <v>65572.633958162492</v>
      </c>
    </row>
    <row r="28" spans="1:6" ht="13.5" customHeight="1" x14ac:dyDescent="0.35">
      <c r="A28" s="36">
        <v>23</v>
      </c>
      <c r="B28" s="38">
        <f t="shared" si="4"/>
        <v>65572.633958162492</v>
      </c>
      <c r="C28" s="38">
        <f t="shared" si="0"/>
        <v>1837.1428941486949</v>
      </c>
      <c r="D28" s="38">
        <f t="shared" si="1"/>
        <v>213.11106036402808</v>
      </c>
      <c r="E28" s="38">
        <f t="shared" si="2"/>
        <v>1624.0318337846668</v>
      </c>
      <c r="F28" s="38">
        <f t="shared" si="3"/>
        <v>63948.602124377823</v>
      </c>
    </row>
    <row r="29" spans="1:6" ht="13.5" customHeight="1" x14ac:dyDescent="0.35">
      <c r="A29" s="37">
        <v>24</v>
      </c>
      <c r="B29" s="39">
        <f t="shared" si="4"/>
        <v>63948.602124377823</v>
      </c>
      <c r="C29" s="39">
        <f t="shared" si="0"/>
        <v>1837.1428941486949</v>
      </c>
      <c r="D29" s="39">
        <f t="shared" si="1"/>
        <v>207.83295690422793</v>
      </c>
      <c r="E29" s="39">
        <f t="shared" si="2"/>
        <v>1629.3099372444669</v>
      </c>
      <c r="F29" s="39">
        <f t="shared" si="3"/>
        <v>62319.292187133353</v>
      </c>
    </row>
    <row r="30" spans="1:6" ht="13.5" customHeight="1" x14ac:dyDescent="0.35">
      <c r="A30" s="36">
        <v>25</v>
      </c>
      <c r="B30" s="38">
        <f t="shared" si="4"/>
        <v>62319.292187133353</v>
      </c>
      <c r="C30" s="38">
        <f t="shared" si="0"/>
        <v>1837.1428941486949</v>
      </c>
      <c r="D30" s="38">
        <f t="shared" si="1"/>
        <v>202.5376996081834</v>
      </c>
      <c r="E30" s="38">
        <f t="shared" si="2"/>
        <v>1634.6051945405115</v>
      </c>
      <c r="F30" s="38">
        <f t="shared" si="3"/>
        <v>60684.68699259284</v>
      </c>
    </row>
    <row r="31" spans="1:6" ht="13.5" customHeight="1" x14ac:dyDescent="0.35">
      <c r="A31" s="37">
        <v>26</v>
      </c>
      <c r="B31" s="39">
        <f t="shared" si="4"/>
        <v>60684.68699259284</v>
      </c>
      <c r="C31" s="39">
        <f t="shared" si="0"/>
        <v>1837.1428941486949</v>
      </c>
      <c r="D31" s="39">
        <f t="shared" si="1"/>
        <v>197.22523272592673</v>
      </c>
      <c r="E31" s="39">
        <f t="shared" si="2"/>
        <v>1639.9176614227681</v>
      </c>
      <c r="F31" s="39">
        <f t="shared" si="3"/>
        <v>59044.769331170071</v>
      </c>
    </row>
    <row r="32" spans="1:6" ht="13.5" customHeight="1" x14ac:dyDescent="0.35">
      <c r="A32" s="36">
        <v>27</v>
      </c>
      <c r="B32" s="38">
        <f t="shared" si="4"/>
        <v>59044.769331170071</v>
      </c>
      <c r="C32" s="38">
        <f t="shared" si="0"/>
        <v>1837.1428941486949</v>
      </c>
      <c r="D32" s="38">
        <f t="shared" si="1"/>
        <v>191.89550032630271</v>
      </c>
      <c r="E32" s="38">
        <f t="shared" si="2"/>
        <v>1645.2473938223923</v>
      </c>
      <c r="F32" s="38">
        <f t="shared" si="3"/>
        <v>57399.521937347679</v>
      </c>
    </row>
    <row r="33" spans="1:6" ht="13.5" customHeight="1" x14ac:dyDescent="0.35">
      <c r="A33" s="37">
        <v>28</v>
      </c>
      <c r="B33" s="39">
        <f t="shared" si="4"/>
        <v>57399.521937347679</v>
      </c>
      <c r="C33" s="39">
        <f t="shared" si="0"/>
        <v>1837.1428941486949</v>
      </c>
      <c r="D33" s="39">
        <f t="shared" si="1"/>
        <v>186.54844629637998</v>
      </c>
      <c r="E33" s="39">
        <f t="shared" si="2"/>
        <v>1650.5944478523149</v>
      </c>
      <c r="F33" s="39">
        <f t="shared" si="3"/>
        <v>55748.927489495363</v>
      </c>
    </row>
    <row r="34" spans="1:6" ht="13.5" customHeight="1" x14ac:dyDescent="0.35">
      <c r="A34" s="36">
        <v>29</v>
      </c>
      <c r="B34" s="38">
        <f t="shared" si="4"/>
        <v>55748.927489495363</v>
      </c>
      <c r="C34" s="38">
        <f t="shared" si="0"/>
        <v>1837.1428941486949</v>
      </c>
      <c r="D34" s="38">
        <f t="shared" si="1"/>
        <v>181.18401434085993</v>
      </c>
      <c r="E34" s="38">
        <f t="shared" si="2"/>
        <v>1655.958879807835</v>
      </c>
      <c r="F34" s="38">
        <f t="shared" si="3"/>
        <v>54092.96860968753</v>
      </c>
    </row>
    <row r="35" spans="1:6" ht="13.5" customHeight="1" x14ac:dyDescent="0.35">
      <c r="A35" s="37">
        <v>30</v>
      </c>
      <c r="B35" s="39">
        <f t="shared" si="4"/>
        <v>54092.96860968753</v>
      </c>
      <c r="C35" s="39">
        <f t="shared" si="0"/>
        <v>1837.1428941486949</v>
      </c>
      <c r="D35" s="39">
        <f t="shared" si="1"/>
        <v>175.80214798148447</v>
      </c>
      <c r="E35" s="39">
        <f t="shared" si="2"/>
        <v>1661.3407461672105</v>
      </c>
      <c r="F35" s="39">
        <f t="shared" si="3"/>
        <v>52431.62786352032</v>
      </c>
    </row>
    <row r="36" spans="1:6" ht="13.5" customHeight="1" x14ac:dyDescent="0.35">
      <c r="A36" s="36">
        <v>31</v>
      </c>
      <c r="B36" s="38">
        <f t="shared" si="4"/>
        <v>52431.62786352032</v>
      </c>
      <c r="C36" s="38">
        <f t="shared" si="0"/>
        <v>1837.1428941486949</v>
      </c>
      <c r="D36" s="38">
        <f t="shared" si="1"/>
        <v>170.40279055644103</v>
      </c>
      <c r="E36" s="38">
        <f t="shared" si="2"/>
        <v>1666.7401035922539</v>
      </c>
      <c r="F36" s="38">
        <f t="shared" si="3"/>
        <v>50764.887759928068</v>
      </c>
    </row>
    <row r="37" spans="1:6" ht="13.5" customHeight="1" x14ac:dyDescent="0.35">
      <c r="A37" s="37">
        <v>32</v>
      </c>
      <c r="B37" s="39">
        <f t="shared" si="4"/>
        <v>50764.887759928068</v>
      </c>
      <c r="C37" s="39">
        <f t="shared" si="0"/>
        <v>1837.1428941486949</v>
      </c>
      <c r="D37" s="39">
        <f t="shared" si="1"/>
        <v>164.98588521976623</v>
      </c>
      <c r="E37" s="39">
        <f t="shared" si="2"/>
        <v>1672.1570089289287</v>
      </c>
      <c r="F37" s="39">
        <f t="shared" si="3"/>
        <v>49092.730750999137</v>
      </c>
    </row>
    <row r="38" spans="1:6" ht="13.5" customHeight="1" x14ac:dyDescent="0.35">
      <c r="A38" s="36">
        <v>33</v>
      </c>
      <c r="B38" s="38">
        <f t="shared" si="4"/>
        <v>49092.730750999137</v>
      </c>
      <c r="C38" s="38">
        <f t="shared" ref="C38:C69" si="5">IF(B38&lt;=0,0,$E$3)</f>
        <v>1837.1428941486949</v>
      </c>
      <c r="D38" s="38">
        <f t="shared" ref="D38:D65" si="6">B38*$E$2/12</f>
        <v>159.55137494074719</v>
      </c>
      <c r="E38" s="38">
        <f t="shared" ref="E38:E69" si="7">C38-D38</f>
        <v>1677.5915192079478</v>
      </c>
      <c r="F38" s="38">
        <f t="shared" ref="F38:F69" si="8">MAX(B38-E38,0)</f>
        <v>47415.139231791189</v>
      </c>
    </row>
    <row r="39" spans="1:6" ht="13.5" customHeight="1" x14ac:dyDescent="0.35">
      <c r="A39" s="37">
        <v>34</v>
      </c>
      <c r="B39" s="39">
        <f t="shared" ref="B39:B65" si="9">F38</f>
        <v>47415.139231791189</v>
      </c>
      <c r="C39" s="39">
        <f t="shared" si="5"/>
        <v>1837.1428941486949</v>
      </c>
      <c r="D39" s="39">
        <f t="shared" si="6"/>
        <v>154.09920250332138</v>
      </c>
      <c r="E39" s="39">
        <f t="shared" si="7"/>
        <v>1683.0436916453737</v>
      </c>
      <c r="F39" s="39">
        <f t="shared" si="8"/>
        <v>45732.095540145812</v>
      </c>
    </row>
    <row r="40" spans="1:6" ht="13.5" customHeight="1" x14ac:dyDescent="0.35">
      <c r="A40" s="36">
        <v>35</v>
      </c>
      <c r="B40" s="38">
        <f t="shared" si="9"/>
        <v>45732.095540145812</v>
      </c>
      <c r="C40" s="38">
        <f t="shared" si="5"/>
        <v>1837.1428941486949</v>
      </c>
      <c r="D40" s="38">
        <f t="shared" si="6"/>
        <v>148.62931050547388</v>
      </c>
      <c r="E40" s="38">
        <f t="shared" si="7"/>
        <v>1688.513583643221</v>
      </c>
      <c r="F40" s="38">
        <f t="shared" si="8"/>
        <v>44043.581956502589</v>
      </c>
    </row>
    <row r="41" spans="1:6" ht="13.5" customHeight="1" x14ac:dyDescent="0.35">
      <c r="A41" s="37">
        <v>36</v>
      </c>
      <c r="B41" s="39">
        <f t="shared" si="9"/>
        <v>44043.581956502589</v>
      </c>
      <c r="C41" s="39">
        <f t="shared" si="5"/>
        <v>1837.1428941486949</v>
      </c>
      <c r="D41" s="39">
        <f t="shared" si="6"/>
        <v>143.14164135863342</v>
      </c>
      <c r="E41" s="39">
        <f t="shared" si="7"/>
        <v>1694.0012527900615</v>
      </c>
      <c r="F41" s="39">
        <f t="shared" si="8"/>
        <v>42349.580703712527</v>
      </c>
    </row>
    <row r="42" spans="1:6" ht="13.5" customHeight="1" x14ac:dyDescent="0.35">
      <c r="A42" s="36">
        <v>37</v>
      </c>
      <c r="B42" s="38">
        <f t="shared" si="9"/>
        <v>42349.580703712527</v>
      </c>
      <c r="C42" s="38">
        <f t="shared" si="5"/>
        <v>1837.1428941486949</v>
      </c>
      <c r="D42" s="38">
        <f t="shared" si="6"/>
        <v>137.63613728706571</v>
      </c>
      <c r="E42" s="38">
        <f t="shared" si="7"/>
        <v>1699.5067568616291</v>
      </c>
      <c r="F42" s="38">
        <f t="shared" si="8"/>
        <v>40650.073946850898</v>
      </c>
    </row>
    <row r="43" spans="1:6" ht="13.5" customHeight="1" x14ac:dyDescent="0.35">
      <c r="A43" s="37">
        <v>38</v>
      </c>
      <c r="B43" s="39">
        <f t="shared" si="9"/>
        <v>40650.073946850898</v>
      </c>
      <c r="C43" s="39">
        <f t="shared" si="5"/>
        <v>1837.1428941486949</v>
      </c>
      <c r="D43" s="39">
        <f t="shared" si="6"/>
        <v>132.11274032726541</v>
      </c>
      <c r="E43" s="39">
        <f t="shared" si="7"/>
        <v>1705.0301538214296</v>
      </c>
      <c r="F43" s="39">
        <f t="shared" si="8"/>
        <v>38945.043793029472</v>
      </c>
    </row>
    <row r="44" spans="1:6" ht="13.5" customHeight="1" x14ac:dyDescent="0.35">
      <c r="A44" s="36">
        <v>39</v>
      </c>
      <c r="B44" s="38">
        <f t="shared" si="9"/>
        <v>38945.043793029472</v>
      </c>
      <c r="C44" s="38">
        <f t="shared" si="5"/>
        <v>1837.1428941486949</v>
      </c>
      <c r="D44" s="38">
        <f t="shared" si="6"/>
        <v>126.57139232734579</v>
      </c>
      <c r="E44" s="38">
        <f t="shared" si="7"/>
        <v>1710.5715018213491</v>
      </c>
      <c r="F44" s="38">
        <f t="shared" si="8"/>
        <v>37234.47229120812</v>
      </c>
    </row>
    <row r="45" spans="1:6" ht="13.5" customHeight="1" x14ac:dyDescent="0.35">
      <c r="A45" s="37">
        <v>40</v>
      </c>
      <c r="B45" s="39">
        <f t="shared" si="9"/>
        <v>37234.47229120812</v>
      </c>
      <c r="C45" s="39">
        <f t="shared" si="5"/>
        <v>1837.1428941486949</v>
      </c>
      <c r="D45" s="39">
        <f t="shared" si="6"/>
        <v>121.0120349464264</v>
      </c>
      <c r="E45" s="39">
        <f t="shared" si="7"/>
        <v>1716.1308592022685</v>
      </c>
      <c r="F45" s="39">
        <f t="shared" si="8"/>
        <v>35518.341432005851</v>
      </c>
    </row>
    <row r="46" spans="1:6" ht="13.5" customHeight="1" x14ac:dyDescent="0.35">
      <c r="A46" s="36">
        <v>41</v>
      </c>
      <c r="B46" s="38">
        <f t="shared" si="9"/>
        <v>35518.341432005851</v>
      </c>
      <c r="C46" s="38">
        <f t="shared" si="5"/>
        <v>1837.1428941486949</v>
      </c>
      <c r="D46" s="38">
        <f t="shared" si="6"/>
        <v>115.43460965401901</v>
      </c>
      <c r="E46" s="38">
        <f t="shared" si="7"/>
        <v>1721.708284494676</v>
      </c>
      <c r="F46" s="38">
        <f t="shared" si="8"/>
        <v>33796.633147511173</v>
      </c>
    </row>
    <row r="47" spans="1:6" ht="13.5" customHeight="1" x14ac:dyDescent="0.35">
      <c r="A47" s="37">
        <v>42</v>
      </c>
      <c r="B47" s="39">
        <f t="shared" si="9"/>
        <v>33796.633147511173</v>
      </c>
      <c r="C47" s="39">
        <f t="shared" si="5"/>
        <v>1837.1428941486949</v>
      </c>
      <c r="D47" s="39">
        <f t="shared" si="6"/>
        <v>109.83905772941131</v>
      </c>
      <c r="E47" s="39">
        <f t="shared" si="7"/>
        <v>1727.3038364192837</v>
      </c>
      <c r="F47" s="39">
        <f t="shared" si="8"/>
        <v>32069.329311091889</v>
      </c>
    </row>
    <row r="48" spans="1:6" ht="13.5" customHeight="1" x14ac:dyDescent="0.35">
      <c r="A48" s="36">
        <v>43</v>
      </c>
      <c r="B48" s="38">
        <f t="shared" si="9"/>
        <v>32069.329311091889</v>
      </c>
      <c r="C48" s="38">
        <f t="shared" si="5"/>
        <v>1837.1428941486949</v>
      </c>
      <c r="D48" s="38">
        <f t="shared" si="6"/>
        <v>104.22532026104864</v>
      </c>
      <c r="E48" s="38">
        <f t="shared" si="7"/>
        <v>1732.9175738876463</v>
      </c>
      <c r="F48" s="38">
        <f t="shared" si="8"/>
        <v>30336.411737204242</v>
      </c>
    </row>
    <row r="49" spans="1:6" ht="13.5" customHeight="1" x14ac:dyDescent="0.35">
      <c r="A49" s="37">
        <v>44</v>
      </c>
      <c r="B49" s="39">
        <f t="shared" si="9"/>
        <v>30336.411737204242</v>
      </c>
      <c r="C49" s="39">
        <f t="shared" si="5"/>
        <v>1837.1428941486949</v>
      </c>
      <c r="D49" s="39">
        <f t="shared" si="6"/>
        <v>98.593338145913791</v>
      </c>
      <c r="E49" s="39">
        <f t="shared" si="7"/>
        <v>1738.5495560027812</v>
      </c>
      <c r="F49" s="39">
        <f t="shared" si="8"/>
        <v>28597.862181201461</v>
      </c>
    </row>
    <row r="50" spans="1:6" ht="13.5" customHeight="1" x14ac:dyDescent="0.35">
      <c r="A50" s="36">
        <v>45</v>
      </c>
      <c r="B50" s="38">
        <f t="shared" si="9"/>
        <v>28597.862181201461</v>
      </c>
      <c r="C50" s="38">
        <f t="shared" si="5"/>
        <v>1837.1428941486949</v>
      </c>
      <c r="D50" s="38">
        <f t="shared" si="6"/>
        <v>92.943052088904736</v>
      </c>
      <c r="E50" s="38">
        <f t="shared" si="7"/>
        <v>1744.1998420597902</v>
      </c>
      <c r="F50" s="38">
        <f t="shared" si="8"/>
        <v>26853.662339141672</v>
      </c>
    </row>
    <row r="51" spans="1:6" ht="13.5" customHeight="1" x14ac:dyDescent="0.35">
      <c r="A51" s="37">
        <v>46</v>
      </c>
      <c r="B51" s="39">
        <f t="shared" si="9"/>
        <v>26853.662339141672</v>
      </c>
      <c r="C51" s="39">
        <f t="shared" si="5"/>
        <v>1837.1428941486949</v>
      </c>
      <c r="D51" s="39">
        <f t="shared" si="6"/>
        <v>87.274402602210444</v>
      </c>
      <c r="E51" s="39">
        <f t="shared" si="7"/>
        <v>1749.8684915464846</v>
      </c>
      <c r="F51" s="39">
        <f t="shared" si="8"/>
        <v>25103.793847595189</v>
      </c>
    </row>
    <row r="52" spans="1:6" ht="13.5" customHeight="1" x14ac:dyDescent="0.35">
      <c r="A52" s="36">
        <v>47</v>
      </c>
      <c r="B52" s="38">
        <f t="shared" si="9"/>
        <v>25103.793847595189</v>
      </c>
      <c r="C52" s="38">
        <f t="shared" si="5"/>
        <v>1837.1428941486949</v>
      </c>
      <c r="D52" s="38">
        <f t="shared" si="6"/>
        <v>81.587330004684361</v>
      </c>
      <c r="E52" s="38">
        <f t="shared" si="7"/>
        <v>1755.5555641440105</v>
      </c>
      <c r="F52" s="38">
        <f t="shared" si="8"/>
        <v>23348.238283451177</v>
      </c>
    </row>
    <row r="53" spans="1:6" ht="13.5" customHeight="1" x14ac:dyDescent="0.35">
      <c r="A53" s="37">
        <v>48</v>
      </c>
      <c r="B53" s="39">
        <f t="shared" si="9"/>
        <v>23348.238283451177</v>
      </c>
      <c r="C53" s="39">
        <f t="shared" si="5"/>
        <v>1837.1428941486949</v>
      </c>
      <c r="D53" s="39">
        <f t="shared" si="6"/>
        <v>75.881774421216321</v>
      </c>
      <c r="E53" s="39">
        <f t="shared" si="7"/>
        <v>1761.2611197274787</v>
      </c>
      <c r="F53" s="39">
        <f t="shared" si="8"/>
        <v>21586.977163723699</v>
      </c>
    </row>
    <row r="54" spans="1:6" ht="13.5" customHeight="1" x14ac:dyDescent="0.35">
      <c r="A54" s="36">
        <v>49</v>
      </c>
      <c r="B54" s="38">
        <f t="shared" si="9"/>
        <v>21586.977163723699</v>
      </c>
      <c r="C54" s="38">
        <f t="shared" si="5"/>
        <v>1837.1428941486949</v>
      </c>
      <c r="D54" s="38">
        <f t="shared" si="6"/>
        <v>70.157675782102018</v>
      </c>
      <c r="E54" s="38">
        <f t="shared" si="7"/>
        <v>1766.985218366593</v>
      </c>
      <c r="F54" s="38">
        <f t="shared" si="8"/>
        <v>19819.991945357106</v>
      </c>
    </row>
    <row r="55" spans="1:6" ht="13.5" customHeight="1" x14ac:dyDescent="0.35">
      <c r="A55" s="37">
        <v>50</v>
      </c>
      <c r="B55" s="39">
        <f t="shared" si="9"/>
        <v>19819.991945357106</v>
      </c>
      <c r="C55" s="39">
        <f t="shared" si="5"/>
        <v>1837.1428941486949</v>
      </c>
      <c r="D55" s="39">
        <f t="shared" si="6"/>
        <v>64.414973822410602</v>
      </c>
      <c r="E55" s="39">
        <f t="shared" si="7"/>
        <v>1772.7279203262844</v>
      </c>
      <c r="F55" s="39">
        <f t="shared" si="8"/>
        <v>18047.264025030821</v>
      </c>
    </row>
    <row r="56" spans="1:6" ht="13.5" customHeight="1" x14ac:dyDescent="0.35">
      <c r="A56" s="36">
        <v>51</v>
      </c>
      <c r="B56" s="38">
        <f t="shared" si="9"/>
        <v>18047.264025030821</v>
      </c>
      <c r="C56" s="38">
        <f t="shared" si="5"/>
        <v>1837.1428941486949</v>
      </c>
      <c r="D56" s="38">
        <f t="shared" si="6"/>
        <v>58.653608081350171</v>
      </c>
      <c r="E56" s="38">
        <f t="shared" si="7"/>
        <v>1778.4892860673449</v>
      </c>
      <c r="F56" s="38">
        <f t="shared" si="8"/>
        <v>16268.774738963477</v>
      </c>
    </row>
    <row r="57" spans="1:6" ht="13.5" customHeight="1" x14ac:dyDescent="0.35">
      <c r="A57" s="37">
        <v>52</v>
      </c>
      <c r="B57" s="39">
        <f t="shared" si="9"/>
        <v>16268.774738963477</v>
      </c>
      <c r="C57" s="39">
        <f t="shared" si="5"/>
        <v>1837.1428941486949</v>
      </c>
      <c r="D57" s="39">
        <f t="shared" si="6"/>
        <v>52.873517901631296</v>
      </c>
      <c r="E57" s="39">
        <f t="shared" si="7"/>
        <v>1784.2693762470637</v>
      </c>
      <c r="F57" s="39">
        <f t="shared" si="8"/>
        <v>14484.505362716412</v>
      </c>
    </row>
    <row r="58" spans="1:6" ht="13.5" customHeight="1" x14ac:dyDescent="0.35">
      <c r="A58" s="36">
        <v>53</v>
      </c>
      <c r="B58" s="38">
        <f t="shared" si="9"/>
        <v>14484.505362716412</v>
      </c>
      <c r="C58" s="38">
        <f t="shared" si="5"/>
        <v>1837.1428941486949</v>
      </c>
      <c r="D58" s="38">
        <f t="shared" si="6"/>
        <v>47.074642428828334</v>
      </c>
      <c r="E58" s="38">
        <f t="shared" si="7"/>
        <v>1790.0682517198666</v>
      </c>
      <c r="F58" s="38">
        <f t="shared" si="8"/>
        <v>12694.437110996547</v>
      </c>
    </row>
    <row r="59" spans="1:6" ht="13.5" customHeight="1" x14ac:dyDescent="0.35">
      <c r="A59" s="37">
        <v>54</v>
      </c>
      <c r="B59" s="39">
        <f t="shared" si="9"/>
        <v>12694.437110996547</v>
      </c>
      <c r="C59" s="39">
        <f t="shared" si="5"/>
        <v>1837.1428941486949</v>
      </c>
      <c r="D59" s="39">
        <f t="shared" si="6"/>
        <v>41.256920610738781</v>
      </c>
      <c r="E59" s="39">
        <f t="shared" si="7"/>
        <v>1795.8859735379563</v>
      </c>
      <c r="F59" s="39">
        <f t="shared" si="8"/>
        <v>10898.551137458591</v>
      </c>
    </row>
    <row r="60" spans="1:6" ht="13.5" customHeight="1" x14ac:dyDescent="0.35">
      <c r="A60" s="36">
        <v>55</v>
      </c>
      <c r="B60" s="38">
        <f t="shared" si="9"/>
        <v>10898.551137458591</v>
      </c>
      <c r="C60" s="38">
        <f t="shared" si="5"/>
        <v>1837.1428941486949</v>
      </c>
      <c r="D60" s="38">
        <f t="shared" si="6"/>
        <v>35.420291196740422</v>
      </c>
      <c r="E60" s="38">
        <f t="shared" si="7"/>
        <v>1801.7226029519545</v>
      </c>
      <c r="F60" s="38">
        <f t="shared" si="8"/>
        <v>9096.8285345066361</v>
      </c>
    </row>
    <row r="61" spans="1:6" ht="13.5" customHeight="1" x14ac:dyDescent="0.35">
      <c r="A61" s="37">
        <v>56</v>
      </c>
      <c r="B61" s="39">
        <f t="shared" si="9"/>
        <v>9096.8285345066361</v>
      </c>
      <c r="C61" s="39">
        <f t="shared" si="5"/>
        <v>1837.1428941486949</v>
      </c>
      <c r="D61" s="39">
        <f t="shared" si="6"/>
        <v>29.564692737146569</v>
      </c>
      <c r="E61" s="39">
        <f t="shared" si="7"/>
        <v>1807.5782014115484</v>
      </c>
      <c r="F61" s="39">
        <f t="shared" si="8"/>
        <v>7289.2503330950876</v>
      </c>
    </row>
    <row r="62" spans="1:6" ht="13.5" customHeight="1" x14ac:dyDescent="0.35">
      <c r="A62" s="36">
        <v>57</v>
      </c>
      <c r="B62" s="38">
        <f t="shared" si="9"/>
        <v>7289.2503330950876</v>
      </c>
      <c r="C62" s="38">
        <f t="shared" si="5"/>
        <v>1837.1428941486949</v>
      </c>
      <c r="D62" s="38">
        <f t="shared" si="6"/>
        <v>23.690063582559034</v>
      </c>
      <c r="E62" s="38">
        <f t="shared" si="7"/>
        <v>1813.4528305661358</v>
      </c>
      <c r="F62" s="38">
        <f t="shared" si="8"/>
        <v>5475.7975025289516</v>
      </c>
    </row>
    <row r="63" spans="1:6" ht="13.5" customHeight="1" x14ac:dyDescent="0.35">
      <c r="A63" s="37">
        <v>58</v>
      </c>
      <c r="B63" s="39">
        <f t="shared" si="9"/>
        <v>5475.7975025289516</v>
      </c>
      <c r="C63" s="39">
        <f t="shared" si="5"/>
        <v>1837.1428941486949</v>
      </c>
      <c r="D63" s="39">
        <f t="shared" si="6"/>
        <v>17.796341883219092</v>
      </c>
      <c r="E63" s="39">
        <f t="shared" si="7"/>
        <v>1819.3465522654758</v>
      </c>
      <c r="F63" s="39">
        <f t="shared" si="8"/>
        <v>3656.4509502634755</v>
      </c>
    </row>
    <row r="64" spans="1:6" ht="13.5" customHeight="1" x14ac:dyDescent="0.35">
      <c r="A64" s="36">
        <v>59</v>
      </c>
      <c r="B64" s="38">
        <f t="shared" si="9"/>
        <v>3656.4509502634755</v>
      </c>
      <c r="C64" s="38">
        <f t="shared" si="5"/>
        <v>1837.1428941486949</v>
      </c>
      <c r="D64" s="38">
        <f t="shared" si="6"/>
        <v>11.883465588356295</v>
      </c>
      <c r="E64" s="38">
        <f t="shared" si="7"/>
        <v>1825.2594285603386</v>
      </c>
      <c r="F64" s="38">
        <f t="shared" si="8"/>
        <v>1831.1915217031369</v>
      </c>
    </row>
    <row r="65" spans="1:6" ht="13.5" customHeight="1" x14ac:dyDescent="0.35">
      <c r="A65" s="37">
        <v>60</v>
      </c>
      <c r="B65" s="40">
        <f t="shared" si="9"/>
        <v>1831.1915217031369</v>
      </c>
      <c r="C65" s="40">
        <f t="shared" si="5"/>
        <v>1837.1428941486949</v>
      </c>
      <c r="D65" s="40">
        <f t="shared" si="6"/>
        <v>5.9513724455351955</v>
      </c>
      <c r="E65" s="40">
        <f t="shared" si="7"/>
        <v>1831.1915217031597</v>
      </c>
      <c r="F65" s="40">
        <f t="shared" si="8"/>
        <v>0</v>
      </c>
    </row>
    <row r="68" spans="1:6" x14ac:dyDescent="0.35">
      <c r="A68" s="16" t="s">
        <v>35</v>
      </c>
    </row>
    <row r="69" spans="1:6" ht="12.75" customHeight="1" x14ac:dyDescent="0.35">
      <c r="A69" s="17" t="s">
        <v>36</v>
      </c>
    </row>
    <row r="70" spans="1:6" ht="12.75" customHeight="1" x14ac:dyDescent="0.35">
      <c r="A70" s="18" t="s">
        <v>37</v>
      </c>
    </row>
    <row r="71" spans="1:6" ht="12.75" customHeight="1" x14ac:dyDescent="0.35">
      <c r="A71" s="19" t="s">
        <v>38</v>
      </c>
    </row>
    <row r="72" spans="1:6" ht="12.75" customHeight="1" x14ac:dyDescent="0.35">
      <c r="A72" s="20" t="s">
        <v>39</v>
      </c>
    </row>
  </sheetData>
  <sheetProtection algorithmName="SHA-512" hashValue="ucdsIGVi3SNMDJzUdI2da8QQw9FOkfcv01CzMXBPIHgoG6WG8D29XASfC+/8LdXQZQ69P8HsM2sxtFHTZYmx2Q==" saltValue="kwCYUiRFBPW8XuDlAvIM9g==" spinCount="100000" sheet="1" objects="1" scenarios="1"/>
  <mergeCells count="1">
    <mergeCell ref="A1:F1"/>
  </mergeCells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أوراق العمل</vt:lpstr>
      </vt:variant>
      <vt:variant>
        <vt:i4>6</vt:i4>
      </vt:variant>
    </vt:vector>
  </HeadingPairs>
  <TitlesOfParts>
    <vt:vector size="6" baseType="lpstr">
      <vt:lpstr>الغلاف</vt:lpstr>
      <vt:lpstr>مقارنة عروض التمويل</vt:lpstr>
      <vt:lpstr>حاسبة التمويل الشخصي</vt:lpstr>
      <vt:lpstr>تمويل السيارة</vt:lpstr>
      <vt:lpstr>السداد المبكر</vt:lpstr>
      <vt:lpstr>جدول الأقساط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abdullahmonief@outlook.sa</cp:lastModifiedBy>
  <cp:revision>0</cp:revision>
  <dcterms:created xsi:type="dcterms:W3CDTF">2026-06-12T07:52:07Z</dcterms:created>
  <dcterms:modified xsi:type="dcterms:W3CDTF">2026-06-13T17:22:58Z</dcterms:modified>
  <dc:language>en-US</dc:language>
</cp:coreProperties>
</file>