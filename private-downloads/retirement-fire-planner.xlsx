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مجلد جديد\"/>
    </mc:Choice>
  </mc:AlternateContent>
  <xr:revisionPtr revIDLastSave="0" documentId="13_ncr:1_{3FE53F55-EB3F-483A-A565-DDB8666A3B8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الغلاف" sheetId="1" r:id="rId1"/>
    <sheet name="حاسبة الاستقلال المالي" sheetId="2" r:id="rId2"/>
    <sheet name="محاكاة 30 سنة" sheetId="3" r:id="rId3"/>
    <sheet name="تخطيط مصاريف التقاعد" sheetId="4" r:id="rId4"/>
    <sheet name="زكاة المدخرات والاستثمارات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A15" i="5" s="1"/>
  <c r="D12" i="5"/>
  <c r="D11" i="5"/>
  <c r="D10" i="5"/>
  <c r="D7" i="5"/>
  <c r="D6" i="5"/>
  <c r="B21" i="4"/>
  <c r="B18" i="4"/>
  <c r="B20" i="4" s="1"/>
  <c r="B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C15" i="4" s="1"/>
  <c r="G33" i="3"/>
  <c r="C33" i="3"/>
  <c r="B33" i="3"/>
  <c r="G32" i="3"/>
  <c r="C32" i="3"/>
  <c r="B32" i="3"/>
  <c r="G31" i="3"/>
  <c r="C31" i="3"/>
  <c r="B31" i="3"/>
  <c r="G30" i="3"/>
  <c r="C30" i="3"/>
  <c r="B30" i="3"/>
  <c r="G29" i="3"/>
  <c r="C29" i="3"/>
  <c r="B29" i="3"/>
  <c r="G28" i="3"/>
  <c r="C28" i="3"/>
  <c r="B28" i="3"/>
  <c r="G27" i="3"/>
  <c r="C27" i="3"/>
  <c r="B27" i="3"/>
  <c r="G26" i="3"/>
  <c r="C26" i="3"/>
  <c r="B26" i="3"/>
  <c r="G25" i="3"/>
  <c r="C25" i="3"/>
  <c r="B25" i="3"/>
  <c r="G24" i="3"/>
  <c r="C24" i="3"/>
  <c r="B24" i="3"/>
  <c r="G23" i="3"/>
  <c r="C23" i="3"/>
  <c r="B23" i="3"/>
  <c r="G22" i="3"/>
  <c r="C22" i="3"/>
  <c r="B22" i="3"/>
  <c r="G21" i="3"/>
  <c r="C21" i="3"/>
  <c r="B21" i="3"/>
  <c r="G20" i="3"/>
  <c r="C20" i="3"/>
  <c r="B20" i="3"/>
  <c r="G19" i="3"/>
  <c r="C19" i="3"/>
  <c r="B19" i="3"/>
  <c r="G18" i="3"/>
  <c r="C18" i="3"/>
  <c r="B18" i="3"/>
  <c r="G17" i="3"/>
  <c r="C17" i="3"/>
  <c r="B17" i="3"/>
  <c r="G16" i="3"/>
  <c r="C16" i="3"/>
  <c r="B16" i="3"/>
  <c r="G15" i="3"/>
  <c r="C15" i="3"/>
  <c r="B15" i="3"/>
  <c r="G14" i="3"/>
  <c r="C14" i="3"/>
  <c r="B14" i="3"/>
  <c r="G13" i="3"/>
  <c r="C13" i="3"/>
  <c r="B13" i="3"/>
  <c r="G12" i="3"/>
  <c r="C12" i="3"/>
  <c r="B12" i="3"/>
  <c r="G11" i="3"/>
  <c r="C11" i="3"/>
  <c r="B11" i="3"/>
  <c r="G10" i="3"/>
  <c r="C10" i="3"/>
  <c r="B10" i="3"/>
  <c r="G9" i="3"/>
  <c r="C9" i="3"/>
  <c r="B9" i="3"/>
  <c r="G8" i="3"/>
  <c r="C8" i="3"/>
  <c r="B8" i="3"/>
  <c r="G7" i="3"/>
  <c r="C7" i="3"/>
  <c r="B7" i="3"/>
  <c r="G6" i="3"/>
  <c r="C6" i="3"/>
  <c r="B6" i="3"/>
  <c r="G5" i="3"/>
  <c r="C5" i="3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B5" i="3"/>
  <c r="G4" i="3"/>
  <c r="F4" i="3"/>
  <c r="E4" i="3"/>
  <c r="H4" i="3" s="1"/>
  <c r="C4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B4" i="3"/>
  <c r="B27" i="2"/>
  <c r="B25" i="2"/>
  <c r="B20" i="2"/>
  <c r="B15" i="2"/>
  <c r="B28" i="2" l="1"/>
  <c r="E5" i="3"/>
  <c r="B26" i="2"/>
  <c r="B31" i="2" s="1"/>
  <c r="B32" i="2" s="1"/>
  <c r="B30" i="2" l="1"/>
  <c r="B29" i="2"/>
  <c r="E6" i="3"/>
  <c r="H5" i="3"/>
  <c r="B33" i="2"/>
  <c r="H6" i="3" l="1"/>
  <c r="E7" i="3"/>
  <c r="E8" i="3" l="1"/>
  <c r="H7" i="3"/>
  <c r="E9" i="3" l="1"/>
  <c r="H8" i="3"/>
  <c r="H9" i="3" l="1"/>
  <c r="E10" i="3"/>
  <c r="E11" i="3" l="1"/>
  <c r="H10" i="3"/>
  <c r="H11" i="3" l="1"/>
  <c r="E12" i="3"/>
  <c r="H12" i="3" l="1"/>
  <c r="E13" i="3"/>
  <c r="E14" i="3" l="1"/>
  <c r="H13" i="3"/>
  <c r="E15" i="3" l="1"/>
  <c r="H14" i="3"/>
  <c r="E16" i="3" l="1"/>
  <c r="H15" i="3"/>
  <c r="E17" i="3" l="1"/>
  <c r="H16" i="3"/>
  <c r="H17" i="3" l="1"/>
  <c r="E18" i="3"/>
  <c r="E19" i="3" l="1"/>
  <c r="H18" i="3"/>
  <c r="H19" i="3" l="1"/>
  <c r="E20" i="3"/>
  <c r="H20" i="3" l="1"/>
  <c r="E21" i="3"/>
  <c r="E22" i="3" l="1"/>
  <c r="H21" i="3"/>
  <c r="H22" i="3" l="1"/>
  <c r="E23" i="3"/>
  <c r="E24" i="3" l="1"/>
  <c r="H23" i="3"/>
  <c r="E25" i="3" l="1"/>
  <c r="H24" i="3"/>
  <c r="H25" i="3" l="1"/>
  <c r="E26" i="3"/>
  <c r="E27" i="3" l="1"/>
  <c r="H26" i="3"/>
  <c r="H27" i="3" l="1"/>
  <c r="E28" i="3"/>
  <c r="H28" i="3" l="1"/>
  <c r="E29" i="3"/>
  <c r="E30" i="3" l="1"/>
  <c r="H29" i="3"/>
  <c r="H30" i="3" l="1"/>
  <c r="E31" i="3"/>
  <c r="E32" i="3" l="1"/>
  <c r="H31" i="3"/>
  <c r="E33" i="3" l="1"/>
  <c r="H33" i="3" s="1"/>
  <c r="H32" i="3"/>
</calcChain>
</file>

<file path=xl/sharedStrings.xml><?xml version="1.0" encoding="utf-8"?>
<sst xmlns="http://schemas.openxmlformats.org/spreadsheetml/2006/main" count="135" uniqueCount="114">
  <si>
    <t>مخطط التقاعد والاستقلال المالي الشامل</t>
  </si>
  <si>
    <t>خطط تقاعدك المبكر · احسب رقم حريتك المالية · تتبع تقدمك</t>
  </si>
  <si>
    <t>🎯 رقم الحرية المالية</t>
  </si>
  <si>
    <t>📅 العمر المستهدف</t>
  </si>
  <si>
    <t>💰 خطة الادخار</t>
  </si>
  <si>
    <t>كم تحتاج بالضبط؟</t>
  </si>
  <si>
    <t>متى تتقاعد؟</t>
  </si>
  <si>
    <t>كم تدخر كل شهر؟</t>
  </si>
  <si>
    <t>📈 نمو المحفظة</t>
  </si>
  <si>
    <t>🔢 السيناريوهات</t>
  </si>
  <si>
    <t>📊 لوحة التقدم</t>
  </si>
  <si>
    <t>محاكاة 30 سنة</t>
  </si>
  <si>
    <t>متفائل، واقعي، متشائم</t>
  </si>
  <si>
    <t>أين أنت الآن؟</t>
  </si>
  <si>
    <t>حاسبة الاستقلال المالي والتقاعد المبكر (FIRE)</t>
  </si>
  <si>
    <t>مبنية على "قاعدة الـ 4%" – أثبتت نجاحها على مدى 30 سنة من البيانات التاريخية</t>
  </si>
  <si>
    <t>معلوماتك الشخصية</t>
  </si>
  <si>
    <t>عمرك الحالي (سنة)</t>
  </si>
  <si>
    <t>عمر التقاعد المستهدف (سنة)</t>
  </si>
  <si>
    <t>متوسط العمر المتوقع (سنة)</t>
  </si>
  <si>
    <t>عدد أفراد الأسرة</t>
  </si>
  <si>
    <t>وضعك المالي الحالي</t>
  </si>
  <si>
    <t>دخلك الشهري الصافي (ريال)</t>
  </si>
  <si>
    <t>مصاريفك الشهرية الحالية (ريال)</t>
  </si>
  <si>
    <t>ادخارك الشهري الحالي (ريال)</t>
  </si>
  <si>
    <t>ثروتك الاستثمارية الحالية (ريال)</t>
  </si>
  <si>
    <t>معدل الادخار الحالي %</t>
  </si>
  <si>
    <t>افتراضات الاستثمار</t>
  </si>
  <si>
    <t>معدل العائد السنوي على الاستثمار %</t>
  </si>
  <si>
    <t>معدل التضخم السنوي المتوقع %</t>
  </si>
  <si>
    <t>العائد الحقيقي بعد التضخم %</t>
  </si>
  <si>
    <t>معدل سحب آمن سنوياً % (Safe Withdrawal)</t>
  </si>
  <si>
    <t>الزيادة السنوية في الادخار %</t>
  </si>
  <si>
    <t>⭐ نتائج التخطيط</t>
  </si>
  <si>
    <t>مصاريفك السنوية عند التقاعد (محاذاة للتضخم)</t>
  </si>
  <si>
    <t>🎯 رقم الاستقلال المالي (ريال)</t>
  </si>
  <si>
    <t>سنوات حتى التقاعد المستهدف</t>
  </si>
  <si>
    <t>ثروتك المتوقعة عند التقاعد (ريال)</t>
  </si>
  <si>
    <t>الفجوة عن الهدف (ريال)</t>
  </si>
  <si>
    <t>هل تصل للهدف؟</t>
  </si>
  <si>
    <t>الادخار الشهري اللازم لتحقيق الهدف (ريال)</t>
  </si>
  <si>
    <t>معدل الادخار اللازم %</t>
  </si>
  <si>
    <t>عمرك عند نفاد الثروة (حال السحب فقط)</t>
  </si>
  <si>
    <t>🔑 دليل الألوان:</t>
  </si>
  <si>
    <t xml:space="preserve">  خلايا الإدخال – أدخل بياناتك</t>
  </si>
  <si>
    <t xml:space="preserve">  خلايا محسوبة – لا تعدّل</t>
  </si>
  <si>
    <t xml:space="preserve">  نتائج رئيسية</t>
  </si>
  <si>
    <t xml:space="preserve">  تحذير / سلبي</t>
  </si>
  <si>
    <t>محاكاة نمو الثروة – 30 سنة قادمة</t>
  </si>
  <si>
    <t>السنة</t>
  </si>
  <si>
    <t>العمر</t>
  </si>
  <si>
    <t>الادخار السنوي (ريال)</t>
  </si>
  <si>
    <t>الثروة – متفائل (8%)</t>
  </si>
  <si>
    <t>الثروة – واقعي (6%)</t>
  </si>
  <si>
    <t>الثروة – متشائم (4%)</t>
  </si>
  <si>
    <t>الهدف التراكمي (ريال)</t>
  </si>
  <si>
    <t>التقدم %</t>
  </si>
  <si>
    <t>الافتراضات:</t>
  </si>
  <si>
    <t>الثروة الحالية</t>
  </si>
  <si>
    <t>الادخار الشهري</t>
  </si>
  <si>
    <t>الهدف</t>
  </si>
  <si>
    <t>تخطيط مصاريف التقاعد التفصيلية</t>
  </si>
  <si>
    <t>مصاريف التقاعد الشهرية المتوقعة</t>
  </si>
  <si>
    <t>فئة المصروف</t>
  </si>
  <si>
    <t>شهرياً (ريال)</t>
  </si>
  <si>
    <t>سنوياً (ريال)</t>
  </si>
  <si>
    <t>% من الإجمالي</t>
  </si>
  <si>
    <t>ملاحظات</t>
  </si>
  <si>
    <t>السكن (إيجار/قسط/صيانة)</t>
  </si>
  <si>
    <t>الغذاء والمشتريات</t>
  </si>
  <si>
    <t>التنقل والسيارة</t>
  </si>
  <si>
    <t>الصحة والرعاية الطبية</t>
  </si>
  <si>
    <t>مهم جداً في التقاعد</t>
  </si>
  <si>
    <t>التعليم (أبناء)</t>
  </si>
  <si>
    <t>إذا لا يزالون يدرسون</t>
  </si>
  <si>
    <t>الترفيه والسفر</t>
  </si>
  <si>
    <t>الاتصالات والإنترنت</t>
  </si>
  <si>
    <t>الملابس والمظهر</t>
  </si>
  <si>
    <t>التبرعات والزكاة</t>
  </si>
  <si>
    <t>مصاريف غير متوقعة</t>
  </si>
  <si>
    <t>احتياطي 10%</t>
  </si>
  <si>
    <t>إجمالي مصاريف التقاعد الشهرية</t>
  </si>
  <si>
    <t>رأس المال اللازم للتقاعد</t>
  </si>
  <si>
    <t>إجمالي المصاريف السنوية (ريال)</t>
  </si>
  <si>
    <t>معدل السحب الآمن %</t>
  </si>
  <si>
    <t>⭐ رأس المال اللازم (ريال)</t>
  </si>
  <si>
    <t>مع احتياطي للطوارئ +20% (ريال)</t>
  </si>
  <si>
    <t>حاسبة زكاة المدخرات والاستثمارات</t>
  </si>
  <si>
    <t>نصاب الزكاة = 85 جراماً من الذهب ≈ 21,250 ريال (يتغير مع سعر الذهب)</t>
  </si>
  <si>
    <t>الأصول الزكوية</t>
  </si>
  <si>
    <t>نوع الأصل</t>
  </si>
  <si>
    <t>القيمة (ريال)</t>
  </si>
  <si>
    <t>هل تجب فيه الزكاة؟</t>
  </si>
  <si>
    <t>الزكاة (2.5%)</t>
  </si>
  <si>
    <t>النقد في البنك</t>
  </si>
  <si>
    <t>نعم</t>
  </si>
  <si>
    <t>يزكى كاملاً</t>
  </si>
  <si>
    <t>الأسهم – للمضاربة</t>
  </si>
  <si>
    <t>على كامل القيمة السوقية</t>
  </si>
  <si>
    <t>الأسهم – للاستثمار طويل</t>
  </si>
  <si>
    <t>جزئي</t>
  </si>
  <si>
    <t>راجع العالم</t>
  </si>
  <si>
    <t>على الأرباح فقط – خلافي</t>
  </si>
  <si>
    <t>العقارات الاستثمارية (الإيجار)</t>
  </si>
  <si>
    <t>على الغلة</t>
  </si>
  <si>
    <t>2.5% من الإيجار السنوي</t>
  </si>
  <si>
    <t>الذهب والمجوهرات (للادخار)</t>
  </si>
  <si>
    <t>2.5% إذا بلغ النصاب</t>
  </si>
  <si>
    <t>صناديق الاستثمار</t>
  </si>
  <si>
    <t>يتبع نوع الصندوق</t>
  </si>
  <si>
    <t>المدخرات التقاعدية</t>
  </si>
  <si>
    <t>إذا بلغت النصاب وحال عليها الحول</t>
  </si>
  <si>
    <t>نصاب الزكاة الحالي (ريال)</t>
  </si>
  <si>
    <t>إجمالي الزكاة الواجبة (ريال)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</si>
</sst>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20" x14ac:knownFonts="1">
    <font>
      <sz val="11"/>
      <color theme="1"/>
      <name val="Arial"/>
      <family val="2"/>
      <scheme val="minor"/>
    </font>
    <font>
      <b/>
      <sz val="22"/>
      <color rgb="FFFFFFFF"/>
      <name val="Arial"/>
    </font>
    <font>
      <sz val="11"/>
      <color rgb="FFC9A84C"/>
      <name val="Arial"/>
    </font>
    <font>
      <b/>
      <sz val="10"/>
      <color rgb="FFFFFFFF"/>
      <name val="Arial"/>
    </font>
    <font>
      <sz val="9"/>
      <color rgb="FF1F3864"/>
      <name val="Arial"/>
    </font>
    <font>
      <b/>
      <sz val="13"/>
      <color rgb="FFFFFFFF"/>
      <name val="Arial"/>
    </font>
    <font>
      <i/>
      <sz val="9"/>
      <color rgb="FF2E5FA3"/>
      <name val="Arial"/>
    </font>
    <font>
      <b/>
      <sz val="11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0"/>
      <color rgb="FF1F3864"/>
      <name val="Arial"/>
    </font>
    <font>
      <b/>
      <sz val="10"/>
      <color rgb="FF375623"/>
      <name val="Arial"/>
    </font>
    <font>
      <b/>
      <sz val="10"/>
      <color rgb="FF1E4620"/>
      <name val="Arial"/>
    </font>
    <font>
      <b/>
      <sz val="11"/>
      <color rgb="FF1F3864"/>
      <name val="Arial"/>
    </font>
    <font>
      <b/>
      <sz val="9"/>
      <color rgb="FF1F3864"/>
      <name val="Arial"/>
    </font>
    <font>
      <sz val="8"/>
      <color rgb="FF0000FF"/>
      <name val="Arial"/>
    </font>
    <font>
      <sz val="8"/>
      <color rgb="FF000000"/>
      <name val="Arial"/>
    </font>
    <font>
      <sz val="8"/>
      <color rgb="FF375623"/>
      <name val="Arial"/>
    </font>
    <font>
      <sz val="8"/>
      <color rgb="FF7B0000"/>
      <name val="Arial"/>
    </font>
    <font>
      <b/>
      <sz val="9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9A84C"/>
      </patternFill>
    </fill>
    <fill>
      <patternFill patternType="solid">
        <fgColor rgb="FF2E5FA3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3" borderId="0" xfId="0" applyFill="1"/>
    <xf numFmtId="0" fontId="4" fillId="5" borderId="1" xfId="0" applyFont="1" applyFill="1" applyBorder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8" fillId="6" borderId="1" xfId="0" applyFont="1" applyFill="1" applyBorder="1" applyAlignment="1" applyProtection="1">
      <alignment horizontal="left" vertical="center" wrapText="1"/>
      <protection locked="0"/>
    </xf>
    <xf numFmtId="1" fontId="9" fillId="5" borderId="1" xfId="0" applyNumberFormat="1" applyFont="1" applyFill="1" applyBorder="1" applyAlignment="1" applyProtection="1">
      <alignment horizontal="right" vertical="center"/>
      <protection locked="0"/>
    </xf>
    <xf numFmtId="3" fontId="9" fillId="5" borderId="1" xfId="0" applyNumberFormat="1" applyFont="1" applyFill="1" applyBorder="1" applyAlignment="1" applyProtection="1">
      <alignment horizontal="right" vertical="center"/>
      <protection locked="0"/>
    </xf>
    <xf numFmtId="10" fontId="9" fillId="5" borderId="1" xfId="0" applyNumberFormat="1" applyFont="1" applyFill="1" applyBorder="1" applyAlignment="1" applyProtection="1">
      <alignment horizontal="right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10" fillId="5" borderId="1" xfId="0" applyFont="1" applyFill="1" applyBorder="1" applyAlignment="1" applyProtection="1">
      <alignment horizontal="left" vertical="center" wrapText="1"/>
      <protection locked="0"/>
    </xf>
    <xf numFmtId="0" fontId="14" fillId="0" borderId="0" xfId="0" applyFont="1" applyProtection="1">
      <protection locked="0"/>
    </xf>
    <xf numFmtId="0" fontId="15" fillId="5" borderId="1" xfId="0" applyFont="1" applyFill="1" applyBorder="1" applyProtection="1">
      <protection locked="0"/>
    </xf>
    <xf numFmtId="0" fontId="16" fillId="7" borderId="1" xfId="0" applyFont="1" applyFill="1" applyBorder="1" applyProtection="1">
      <protection locked="0"/>
    </xf>
    <xf numFmtId="0" fontId="17" fillId="8" borderId="1" xfId="0" applyFont="1" applyFill="1" applyBorder="1" applyProtection="1">
      <protection locked="0"/>
    </xf>
    <xf numFmtId="0" fontId="18" fillId="9" borderId="1" xfId="0" applyFont="1" applyFill="1" applyBorder="1" applyProtection="1">
      <protection locked="0"/>
    </xf>
    <xf numFmtId="164" fontId="8" fillId="7" borderId="1" xfId="0" applyNumberFormat="1" applyFont="1" applyFill="1" applyBorder="1" applyAlignment="1" applyProtection="1">
      <alignment horizontal="right" vertical="center"/>
      <protection locked="0" hidden="1"/>
    </xf>
    <xf numFmtId="165" fontId="11" fillId="8" borderId="4" xfId="0" applyNumberFormat="1" applyFont="1" applyFill="1" applyBorder="1" applyAlignment="1" applyProtection="1">
      <alignment horizontal="right" vertical="center"/>
      <protection locked="0" hidden="1"/>
    </xf>
    <xf numFmtId="0" fontId="0" fillId="0" borderId="0" xfId="0" applyProtection="1">
      <protection locked="0" hidden="1"/>
    </xf>
    <xf numFmtId="4" fontId="12" fillId="8" borderId="4" xfId="0" applyNumberFormat="1" applyFont="1" applyFill="1" applyBorder="1" applyAlignment="1" applyProtection="1">
      <alignment horizontal="right" vertical="center"/>
      <protection locked="0" hidden="1"/>
    </xf>
    <xf numFmtId="0" fontId="13" fillId="8" borderId="4" xfId="0" applyFont="1" applyFill="1" applyBorder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64" fontId="11" fillId="8" borderId="4" xfId="0" applyNumberFormat="1" applyFont="1" applyFill="1" applyBorder="1" applyAlignment="1" applyProtection="1">
      <alignment horizontal="right" vertical="center"/>
      <protection locked="0" hidden="1"/>
    </xf>
    <xf numFmtId="0" fontId="19" fillId="2" borderId="1" xfId="0" applyFont="1" applyFill="1" applyBorder="1" applyAlignment="1" applyProtection="1">
      <alignment horizontal="center" vertical="center" wrapText="1"/>
      <protection locked="0"/>
    </xf>
    <xf numFmtId="0" fontId="19" fillId="3" borderId="1" xfId="0" applyFont="1" applyFill="1" applyBorder="1" applyAlignment="1" applyProtection="1">
      <alignment horizontal="center" vertical="center" wrapText="1"/>
      <protection locked="0"/>
    </xf>
    <xf numFmtId="0" fontId="14" fillId="5" borderId="1" xfId="0" applyFont="1" applyFill="1" applyBorder="1" applyAlignment="1" applyProtection="1">
      <alignment horizontal="center" vertical="center" wrapText="1"/>
      <protection locked="0"/>
    </xf>
    <xf numFmtId="1" fontId="8" fillId="6" borderId="1" xfId="0" applyNumberFormat="1" applyFont="1" applyFill="1" applyBorder="1" applyAlignment="1" applyProtection="1">
      <alignment horizontal="right" vertical="center"/>
      <protection locked="0" hidden="1"/>
    </xf>
    <xf numFmtId="3" fontId="8" fillId="6" borderId="1" xfId="0" applyNumberFormat="1" applyFont="1" applyFill="1" applyBorder="1" applyAlignment="1" applyProtection="1">
      <alignment horizontal="right" vertical="center"/>
      <protection locked="0" hidden="1"/>
    </xf>
    <xf numFmtId="9" fontId="8" fillId="6" borderId="1" xfId="0" applyNumberFormat="1" applyFont="1" applyFill="1" applyBorder="1" applyAlignment="1" applyProtection="1">
      <alignment horizontal="right" vertical="center"/>
      <protection locked="0" hidden="1"/>
    </xf>
    <xf numFmtId="1" fontId="8" fillId="5" borderId="1" xfId="0" applyNumberFormat="1" applyFont="1" applyFill="1" applyBorder="1" applyAlignment="1" applyProtection="1">
      <alignment horizontal="right" vertical="center"/>
      <protection locked="0" hidden="1"/>
    </xf>
    <xf numFmtId="3" fontId="8" fillId="5" borderId="1" xfId="0" applyNumberFormat="1" applyFont="1" applyFill="1" applyBorder="1" applyAlignment="1" applyProtection="1">
      <alignment horizontal="right" vertical="center"/>
      <protection locked="0" hidden="1"/>
    </xf>
    <xf numFmtId="9" fontId="8" fillId="5" borderId="1" xfId="0" applyNumberFormat="1" applyFont="1" applyFill="1" applyBorder="1" applyAlignment="1" applyProtection="1">
      <alignment horizontal="right" vertical="center"/>
      <protection locked="0" hidden="1"/>
    </xf>
    <xf numFmtId="1" fontId="8" fillId="8" borderId="1" xfId="0" applyNumberFormat="1" applyFont="1" applyFill="1" applyBorder="1" applyAlignment="1" applyProtection="1">
      <alignment horizontal="right" vertical="center"/>
      <protection locked="0" hidden="1"/>
    </xf>
    <xf numFmtId="3" fontId="8" fillId="8" borderId="1" xfId="0" applyNumberFormat="1" applyFont="1" applyFill="1" applyBorder="1" applyAlignment="1" applyProtection="1">
      <alignment horizontal="right" vertical="center"/>
      <protection locked="0" hidden="1"/>
    </xf>
    <xf numFmtId="9" fontId="8" fillId="8" borderId="1" xfId="0" applyNumberFormat="1" applyFont="1" applyFill="1" applyBorder="1" applyAlignment="1" applyProtection="1">
      <alignment horizontal="right" vertical="center"/>
      <protection locked="0" hidden="1"/>
    </xf>
    <xf numFmtId="0" fontId="8" fillId="7" borderId="1" xfId="0" applyFont="1" applyFill="1" applyBorder="1" applyAlignment="1" applyProtection="1">
      <alignment horizontal="left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3" fontId="8" fillId="7" borderId="1" xfId="0" applyNumberFormat="1" applyFont="1" applyFill="1" applyBorder="1" applyAlignment="1" applyProtection="1">
      <alignment horizontal="right" vertical="center"/>
      <protection locked="0" hidden="1"/>
    </xf>
    <xf numFmtId="4" fontId="11" fillId="8" borderId="4" xfId="0" applyNumberFormat="1" applyFont="1" applyFill="1" applyBorder="1" applyAlignment="1" applyProtection="1">
      <alignment horizontal="right" vertical="center"/>
      <protection locked="0" hidden="1"/>
    </xf>
    <xf numFmtId="164" fontId="9" fillId="5" borderId="1" xfId="0" applyNumberFormat="1" applyFont="1" applyFill="1" applyBorder="1" applyAlignment="1" applyProtection="1">
      <alignment horizontal="right" vertical="center"/>
      <protection locked="0" hidden="1"/>
    </xf>
    <xf numFmtId="0" fontId="8" fillId="8" borderId="1" xfId="0" applyFont="1" applyFill="1" applyBorder="1" applyAlignment="1" applyProtection="1">
      <alignment horizontal="left" vertical="center" wrapText="1"/>
      <protection locked="0"/>
    </xf>
    <xf numFmtId="4" fontId="8" fillId="7" borderId="1" xfId="0" applyNumberFormat="1" applyFont="1" applyFill="1" applyBorder="1" applyAlignment="1" applyProtection="1">
      <alignment horizontal="right" vertical="center"/>
      <protection locked="0" hidden="1"/>
    </xf>
    <xf numFmtId="0" fontId="13" fillId="8" borderId="4" xfId="0" applyFont="1" applyFill="1" applyBorder="1" applyAlignment="1" applyProtection="1">
      <alignment horizontal="center" vertical="center" wrapText="1"/>
      <protection locked="0" hidden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ar-SA"/>
              <a:t>محاكاة نمو الثروة – 3 سيناريوهات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متفائل 8%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'محاكاة 30 سنة'!$D$3:$D$33</c:f>
              <c:numCache>
                <c:formatCode>#,##0</c:formatCode>
                <c:ptCount val="31"/>
                <c:pt idx="0" formatCode="General">
                  <c:v>0</c:v>
                </c:pt>
                <c:pt idx="1">
                  <c:v>164160</c:v>
                </c:pt>
                <c:pt idx="2">
                  <c:v>258940.80000000002</c:v>
                </c:pt>
                <c:pt idx="3">
                  <c:v>365386.46400000009</c:v>
                </c:pt>
                <c:pt idx="4">
                  <c:v>484634.30112000013</c:v>
                </c:pt>
                <c:pt idx="5">
                  <c:v>617922.81120960019</c:v>
                </c:pt>
                <c:pt idx="6">
                  <c:v>766600.29040636821</c:v>
                </c:pt>
                <c:pt idx="7">
                  <c:v>932134.15065387764</c:v>
                </c:pt>
                <c:pt idx="8">
                  <c:v>1116121.0115719379</c:v>
                </c:pt>
                <c:pt idx="9">
                  <c:v>1320297.6278067306</c:v>
                </c:pt>
                <c:pt idx="10">
                  <c:v>1546552.7201057584</c:v>
                </c:pt>
                <c:pt idx="11">
                  <c:v>1796939.7838924329</c:v>
                </c:pt>
                <c:pt idx="12">
                  <c:v>2073690.9550909521</c:v>
                </c:pt>
                <c:pt idx="13">
                  <c:v>2379232.0194097091</c:v>
                </c:pt>
                <c:pt idx="14">
                  <c:v>2716198.6582695409</c:v>
                </c:pt>
                <c:pt idx="15">
                  <c:v>3087454.032103512</c:v>
                </c:pt>
                <c:pt idx="16">
                  <c:v>3496107.8099028212</c:v>
                </c:pt>
                <c:pt idx="17">
                  <c:v>3945536.7626876268</c:v>
                </c:pt>
                <c:pt idx="18">
                  <c:v>4439407.0480948454</c:v>
                </c:pt>
                <c:pt idx="19">
                  <c:v>4981698.3235542523</c:v>
                </c:pt>
                <c:pt idx="20">
                  <c:v>5576729.8366310019</c:v>
                </c:pt>
                <c:pt idx="21">
                  <c:v>6229188.6531135123</c:v>
                </c:pt>
                <c:pt idx="22">
                  <c:v>6944160.1963922251</c:v>
                </c:pt>
                <c:pt idx="23">
                  <c:v>7727161.2856847169</c:v>
                </c:pt>
                <c:pt idx="24">
                  <c:v>8584175.8757996634</c:v>
                </c:pt>
                <c:pt idx="25">
                  <c:v>9521693.7174868137</c:v>
                </c:pt>
                <c:pt idx="26">
                  <c:v>10546752.175090095</c:v>
                </c:pt>
                <c:pt idx="27">
                  <c:v>11666981.457311857</c:v>
                </c:pt>
                <c:pt idx="28">
                  <c:v>12890653.537522087</c:v>
                </c:pt>
                <c:pt idx="29">
                  <c:v>14226735.062330399</c:v>
                </c:pt>
                <c:pt idx="30">
                  <c:v>15684944.571213705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09-4AC2-A583-BFF8D310DACC}"/>
            </c:ext>
          </c:extLst>
        </c:ser>
        <c:ser>
          <c:idx val="1"/>
          <c:order val="1"/>
          <c:tx>
            <c:v>واقعي 6%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'محاكاة 30 سنة'!$E$3:$E$33</c:f>
              <c:numCache>
                <c:formatCode>#,##0</c:formatCode>
                <c:ptCount val="31"/>
                <c:pt idx="0">
                  <c:v>6000</c:v>
                </c:pt>
                <c:pt idx="1">
                  <c:v>161120</c:v>
                </c:pt>
                <c:pt idx="2">
                  <c:v>250923.2</c:v>
                </c:pt>
                <c:pt idx="3">
                  <c:v>350121.39200000005</c:v>
                </c:pt>
                <c:pt idx="4">
                  <c:v>459478.61552000005</c:v>
                </c:pt>
                <c:pt idx="5">
                  <c:v>579814.76945120015</c:v>
                </c:pt>
                <c:pt idx="6">
                  <c:v>712009.46446827217</c:v>
                </c:pt>
                <c:pt idx="7">
                  <c:v>857006.13162886852</c:v>
                </c:pt>
                <c:pt idx="8">
                  <c:v>1015816.4037837257</c:v>
                </c:pt>
                <c:pt idx="9">
                  <c:v>1189524.7874807306</c:v>
                </c:pt>
                <c:pt idx="10">
                  <c:v>1379293.6441730547</c:v>
                </c:pt>
                <c:pt idx="11">
                  <c:v>1586368.5007390925</c:v>
                </c:pt>
                <c:pt idx="12">
                  <c:v>1812083.710594875</c:v>
                </c:pt>
                <c:pt idx="13">
                  <c:v>2057868.4880325766</c:v>
                </c:pt>
                <c:pt idx="14">
                  <c:v>2325253.3398566409</c:v>
                </c:pt>
                <c:pt idx="15">
                  <c:v>2615876.9199172547</c:v>
                </c:pt>
                <c:pt idx="16">
                  <c:v>2931493.3337649656</c:v>
                </c:pt>
                <c:pt idx="17">
                  <c:v>3273979.9223761735</c:v>
                </c:pt>
                <c:pt idx="18">
                  <c:v>3645345.5557333189</c:v>
                </c:pt>
                <c:pt idx="19">
                  <c:v>4047739.4689926216</c:v>
                </c:pt>
                <c:pt idx="20">
                  <c:v>4483460.6760432478</c:v>
                </c:pt>
                <c:pt idx="21">
                  <c:v>4954967.9974624645</c:v>
                </c:pt>
                <c:pt idx="22">
                  <c:v>5464890.7422096664</c:v>
                </c:pt>
                <c:pt idx="23">
                  <c:v>6016040.0848866729</c:v>
                </c:pt>
                <c:pt idx="24">
                  <c:v>6611421.1830315208</c:v>
                </c:pt>
                <c:pt idx="25">
                  <c:v>7254246.081717642</c:v>
                </c:pt>
                <c:pt idx="26">
                  <c:v>7947947.4557101419</c:v>
                </c:pt>
                <c:pt idx="27">
                  <c:v>8696193.2425966654</c:v>
                </c:pt>
                <c:pt idx="28">
                  <c:v>9502902.2236735746</c:v>
                </c:pt>
                <c:pt idx="29">
                  <c:v>10372260.612941153</c:v>
                </c:pt>
                <c:pt idx="30">
                  <c:v>11308739.718357146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C09-4AC2-A583-BFF8D310DACC}"/>
            </c:ext>
          </c:extLst>
        </c:ser>
        <c:ser>
          <c:idx val="2"/>
          <c:order val="2"/>
          <c:tx>
            <c:v>متشائم 4%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'محاكاة 30 سنة'!$F$3:$F$33</c:f>
              <c:numCache>
                <c:formatCode>#,##0</c:formatCode>
                <c:ptCount val="31"/>
                <c:pt idx="0" formatCode="General">
                  <c:v>0</c:v>
                </c:pt>
                <c:pt idx="1">
                  <c:v>158080</c:v>
                </c:pt>
                <c:pt idx="2">
                  <c:v>243027.20000000001</c:v>
                </c:pt>
                <c:pt idx="3">
                  <c:v>335303.48800000001</c:v>
                </c:pt>
                <c:pt idx="4">
                  <c:v>435398.58752</c:v>
                </c:pt>
                <c:pt idx="5">
                  <c:v>543831.63902080001</c:v>
                </c:pt>
                <c:pt idx="6">
                  <c:v>661152.86798163201</c:v>
                </c:pt>
                <c:pt idx="7">
                  <c:v>787945.34427089733</c:v>
                </c:pt>
                <c:pt idx="8">
                  <c:v>924826.83769023337</c:v>
                </c:pt>
                <c:pt idx="9">
                  <c:v>1072451.7748287676</c:v>
                </c:pt>
                <c:pt idx="10">
                  <c:v>1231513.3026343896</c:v>
                </c:pt>
                <c:pt idx="11">
                  <c:v>1402745.46439286</c:v>
                </c:pt>
                <c:pt idx="12">
                  <c:v>1586925.4941043239</c:v>
                </c:pt>
                <c:pt idx="13">
                  <c:v>1784876.2355610339</c:v>
                </c:pt>
                <c:pt idx="14">
                  <c:v>1997468.6927606394</c:v>
                </c:pt>
                <c:pt idx="15">
                  <c:v>2225624.7186370874</c:v>
                </c:pt>
                <c:pt idx="16">
                  <c:v>2470319.8494568942</c:v>
                </c:pt>
                <c:pt idx="17">
                  <c:v>2732586.2926132097</c:v>
                </c:pt>
                <c:pt idx="18">
                  <c:v>3013516.0759546794</c:v>
                </c:pt>
                <c:pt idx="19">
                  <c:v>3314264.3672116548</c:v>
                </c:pt>
                <c:pt idx="20">
                  <c:v>3636052.9725298486</c:v>
                </c:pt>
                <c:pt idx="21">
                  <c:v>3980174.0235922569</c:v>
                </c:pt>
                <c:pt idx="22">
                  <c:v>4347993.8633052222</c:v>
                </c:pt>
                <c:pt idx="23">
                  <c:v>4740957.1405451698</c:v>
                </c:pt>
                <c:pt idx="24">
                  <c:v>5160591.1250101021</c:v>
                </c:pt>
                <c:pt idx="25">
                  <c:v>5608510.2537957877</c:v>
                </c:pt>
                <c:pt idx="26">
                  <c:v>6086420.9219221659</c:v>
                </c:pt>
                <c:pt idx="27">
                  <c:v>6596126.5296723265</c:v>
                </c:pt>
                <c:pt idx="28">
                  <c:v>7139532.8002761574</c:v>
                </c:pt>
                <c:pt idx="29">
                  <c:v>7718653.3821749873</c:v>
                </c:pt>
                <c:pt idx="30">
                  <c:v>8335615.7508441601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C09-4AC2-A583-BFF8D310D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ar-SA"/>
                  <a:t>السنة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ar-SA"/>
                  <a:t>الثروة (ريال)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35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workbookViewId="0">
      <selection activeCell="E14" sqref="E14:G14"/>
    </sheetView>
  </sheetViews>
  <sheetFormatPr defaultRowHeight="14" x14ac:dyDescent="0.3"/>
  <cols>
    <col min="1" max="10" width="8.5" customWidth="1"/>
  </cols>
  <sheetData>
    <row r="1" spans="1:10" ht="26" customHeight="1" x14ac:dyDescent="0.3">
      <c r="A1" s="6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17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17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17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17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17" customHeight="1" x14ac:dyDescent="0.3">
      <c r="A6" s="5" t="s">
        <v>1</v>
      </c>
      <c r="B6" s="3"/>
      <c r="C6" s="3"/>
      <c r="D6" s="3"/>
      <c r="E6" s="3"/>
      <c r="F6" s="3"/>
      <c r="G6" s="3"/>
      <c r="H6" s="3"/>
      <c r="I6" s="3"/>
      <c r="J6" s="3"/>
    </row>
    <row r="7" spans="1:10" ht="17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3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9" customHeight="1" x14ac:dyDescent="0.3">
      <c r="B9" s="4" t="s">
        <v>2</v>
      </c>
      <c r="C9" s="3"/>
      <c r="D9" s="3"/>
      <c r="E9" s="4" t="s">
        <v>3</v>
      </c>
      <c r="F9" s="3"/>
      <c r="G9" s="3"/>
      <c r="H9" s="4" t="s">
        <v>4</v>
      </c>
      <c r="I9" s="3"/>
      <c r="J9" s="3"/>
    </row>
    <row r="10" spans="1:10" ht="15" customHeight="1" x14ac:dyDescent="0.3">
      <c r="B10" s="2" t="s">
        <v>5</v>
      </c>
      <c r="C10" s="3"/>
      <c r="D10" s="3"/>
      <c r="E10" s="2" t="s">
        <v>6</v>
      </c>
      <c r="F10" s="3"/>
      <c r="G10" s="3"/>
      <c r="H10" s="2" t="s">
        <v>7</v>
      </c>
      <c r="I10" s="3"/>
      <c r="J10" s="3"/>
    </row>
    <row r="11" spans="1:10" ht="17" customHeight="1" x14ac:dyDescent="0.3"/>
    <row r="12" spans="1:10" ht="17" customHeight="1" x14ac:dyDescent="0.3"/>
    <row r="13" spans="1:10" ht="19" customHeight="1" x14ac:dyDescent="0.3">
      <c r="B13" s="4" t="s">
        <v>8</v>
      </c>
      <c r="C13" s="3"/>
      <c r="D13" s="3"/>
      <c r="E13" s="4" t="s">
        <v>9</v>
      </c>
      <c r="F13" s="3"/>
      <c r="G13" s="3"/>
      <c r="H13" s="4" t="s">
        <v>10</v>
      </c>
      <c r="I13" s="3"/>
      <c r="J13" s="3"/>
    </row>
    <row r="14" spans="1:10" ht="15" customHeight="1" x14ac:dyDescent="0.3">
      <c r="B14" s="2" t="s">
        <v>11</v>
      </c>
      <c r="C14" s="3"/>
      <c r="D14" s="3"/>
      <c r="E14" s="2" t="s">
        <v>12</v>
      </c>
      <c r="F14" s="3"/>
      <c r="G14" s="3"/>
      <c r="H14" s="2" t="s">
        <v>13</v>
      </c>
      <c r="I14" s="3"/>
      <c r="J14" s="3"/>
    </row>
    <row r="15" spans="1:10" ht="17" customHeight="1" x14ac:dyDescent="0.3"/>
    <row r="16" spans="1:10" ht="17" customHeight="1" x14ac:dyDescent="0.3"/>
    <row r="17" ht="17" customHeight="1" x14ac:dyDescent="0.3"/>
    <row r="18" ht="17" customHeight="1" x14ac:dyDescent="0.3"/>
    <row r="19" ht="17" customHeight="1" x14ac:dyDescent="0.3"/>
    <row r="20" ht="17" customHeight="1" x14ac:dyDescent="0.3"/>
    <row r="21" ht="17" customHeight="1" x14ac:dyDescent="0.3"/>
    <row r="22" ht="17" customHeight="1" x14ac:dyDescent="0.3"/>
    <row r="23" ht="17" customHeight="1" x14ac:dyDescent="0.3"/>
    <row r="24" ht="17" customHeight="1" x14ac:dyDescent="0.3"/>
    <row r="25" ht="17" customHeight="1" x14ac:dyDescent="0.3"/>
    <row r="26" ht="17" customHeight="1" x14ac:dyDescent="0.3"/>
    <row r="27" ht="17" customHeight="1" x14ac:dyDescent="0.3"/>
    <row r="28" ht="17" customHeight="1" x14ac:dyDescent="0.3"/>
    <row r="29" ht="17" customHeight="1" x14ac:dyDescent="0.3"/>
    <row r="30" ht="17" customHeight="1" x14ac:dyDescent="0.3"/>
    <row r="31" ht="17" customHeight="1" x14ac:dyDescent="0.3"/>
    <row r="32" ht="17" customHeight="1" x14ac:dyDescent="0.3"/>
    <row r="33" ht="17" customHeight="1" x14ac:dyDescent="0.3"/>
    <row r="34" ht="17" customHeight="1" x14ac:dyDescent="0.3"/>
    <row r="35" ht="17" customHeight="1" x14ac:dyDescent="0.3"/>
    <row r="36" ht="17" customHeight="1" x14ac:dyDescent="0.3"/>
    <row r="37" ht="17" customHeight="1" x14ac:dyDescent="0.3"/>
    <row r="38" ht="17" customHeight="1" x14ac:dyDescent="0.3"/>
    <row r="39" ht="17" customHeight="1" x14ac:dyDescent="0.3"/>
    <row r="40" ht="17" customHeight="1" x14ac:dyDescent="0.3"/>
    <row r="41" ht="17" customHeight="1" x14ac:dyDescent="0.3"/>
    <row r="42" ht="17" customHeight="1" x14ac:dyDescent="0.3"/>
    <row r="43" ht="17" customHeight="1" x14ac:dyDescent="0.3"/>
    <row r="44" ht="17" customHeight="1" x14ac:dyDescent="0.3"/>
    <row r="45" ht="17" customHeight="1" x14ac:dyDescent="0.3"/>
    <row r="46" ht="17" customHeight="1" x14ac:dyDescent="0.3"/>
    <row r="47" ht="17" customHeight="1" x14ac:dyDescent="0.3"/>
    <row r="48" ht="17" customHeight="1" x14ac:dyDescent="0.3"/>
    <row r="49" ht="17" customHeight="1" x14ac:dyDescent="0.3"/>
  </sheetData>
  <mergeCells count="14">
    <mergeCell ref="A1:J5"/>
    <mergeCell ref="B9:D9"/>
    <mergeCell ref="B13:D13"/>
    <mergeCell ref="E9:G9"/>
    <mergeCell ref="H9:J9"/>
    <mergeCell ref="A6:J7"/>
    <mergeCell ref="B10:D10"/>
    <mergeCell ref="E10:G10"/>
    <mergeCell ref="H10:J10"/>
    <mergeCell ref="B14:D14"/>
    <mergeCell ref="E13:G13"/>
    <mergeCell ref="E14:G14"/>
    <mergeCell ref="H14:J14"/>
    <mergeCell ref="H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rightToLeft="1" tabSelected="1" topLeftCell="A18" workbookViewId="0">
      <selection activeCell="G21" sqref="G21"/>
    </sheetView>
  </sheetViews>
  <sheetFormatPr defaultRowHeight="14" x14ac:dyDescent="0.3"/>
  <cols>
    <col min="1" max="1" width="38" style="9" customWidth="1"/>
    <col min="2" max="2" width="24" style="9" customWidth="1"/>
    <col min="3" max="3" width="10" style="9" customWidth="1"/>
    <col min="4" max="6" width="5" style="9" customWidth="1"/>
    <col min="7" max="16384" width="8.6640625" style="9"/>
  </cols>
  <sheetData>
    <row r="1" spans="1:6" ht="28" customHeight="1" x14ac:dyDescent="0.3">
      <c r="A1" s="7" t="s">
        <v>14</v>
      </c>
      <c r="B1" s="8"/>
      <c r="C1" s="8"/>
      <c r="D1" s="8"/>
      <c r="E1" s="8"/>
      <c r="F1" s="8"/>
    </row>
    <row r="2" spans="1:6" x14ac:dyDescent="0.3">
      <c r="A2" s="10" t="s">
        <v>15</v>
      </c>
      <c r="B2" s="8"/>
      <c r="C2" s="8"/>
      <c r="D2" s="8"/>
      <c r="E2" s="8"/>
      <c r="F2" s="8"/>
    </row>
    <row r="4" spans="1:6" ht="22" customHeight="1" x14ac:dyDescent="0.3">
      <c r="A4" s="11" t="s">
        <v>16</v>
      </c>
      <c r="B4" s="12"/>
      <c r="C4" s="13"/>
    </row>
    <row r="5" spans="1:6" ht="17" customHeight="1" x14ac:dyDescent="0.3">
      <c r="A5" s="14" t="s">
        <v>17</v>
      </c>
      <c r="B5" s="15">
        <v>32</v>
      </c>
    </row>
    <row r="6" spans="1:6" ht="17" customHeight="1" x14ac:dyDescent="0.3">
      <c r="A6" s="14" t="s">
        <v>18</v>
      </c>
      <c r="B6" s="15">
        <v>50</v>
      </c>
    </row>
    <row r="7" spans="1:6" ht="17" customHeight="1" x14ac:dyDescent="0.3">
      <c r="A7" s="14" t="s">
        <v>19</v>
      </c>
      <c r="B7" s="15">
        <v>85</v>
      </c>
    </row>
    <row r="8" spans="1:6" ht="17" customHeight="1" x14ac:dyDescent="0.3">
      <c r="A8" s="14" t="s">
        <v>20</v>
      </c>
      <c r="B8" s="15">
        <v>4</v>
      </c>
    </row>
    <row r="10" spans="1:6" ht="22" customHeight="1" x14ac:dyDescent="0.3">
      <c r="A10" s="11" t="s">
        <v>21</v>
      </c>
      <c r="B10" s="12"/>
      <c r="C10" s="13"/>
    </row>
    <row r="11" spans="1:6" ht="17" customHeight="1" x14ac:dyDescent="0.3">
      <c r="A11" s="14" t="s">
        <v>22</v>
      </c>
      <c r="B11" s="16">
        <v>18000</v>
      </c>
    </row>
    <row r="12" spans="1:6" ht="17" customHeight="1" x14ac:dyDescent="0.3">
      <c r="A12" s="14" t="s">
        <v>23</v>
      </c>
      <c r="B12" s="16">
        <v>12000</v>
      </c>
    </row>
    <row r="13" spans="1:6" ht="17" customHeight="1" x14ac:dyDescent="0.3">
      <c r="A13" s="14" t="s">
        <v>24</v>
      </c>
      <c r="B13" s="16">
        <v>6000</v>
      </c>
    </row>
    <row r="14" spans="1:6" ht="17" customHeight="1" x14ac:dyDescent="0.3">
      <c r="A14" s="14" t="s">
        <v>25</v>
      </c>
      <c r="B14" s="16">
        <v>80000</v>
      </c>
    </row>
    <row r="15" spans="1:6" ht="17" customHeight="1" x14ac:dyDescent="0.3">
      <c r="A15" s="14" t="s">
        <v>26</v>
      </c>
      <c r="B15" s="25">
        <f>IF(B11=0,0,B13/B11)</f>
        <v>0.33333333333333331</v>
      </c>
    </row>
    <row r="17" spans="1:3" ht="22" customHeight="1" x14ac:dyDescent="0.3">
      <c r="A17" s="11" t="s">
        <v>27</v>
      </c>
      <c r="B17" s="12"/>
      <c r="C17" s="13"/>
    </row>
    <row r="18" spans="1:3" ht="17" customHeight="1" x14ac:dyDescent="0.3">
      <c r="A18" s="14" t="s">
        <v>28</v>
      </c>
      <c r="B18" s="17">
        <v>7.0000000000000007E-2</v>
      </c>
    </row>
    <row r="19" spans="1:3" ht="17" customHeight="1" x14ac:dyDescent="0.3">
      <c r="A19" s="14" t="s">
        <v>29</v>
      </c>
      <c r="B19" s="17">
        <v>0.03</v>
      </c>
    </row>
    <row r="20" spans="1:3" ht="17" customHeight="1" x14ac:dyDescent="0.3">
      <c r="A20" s="14" t="s">
        <v>30</v>
      </c>
      <c r="B20" s="25">
        <f>B18-B19</f>
        <v>4.0000000000000008E-2</v>
      </c>
    </row>
    <row r="21" spans="1:3" ht="17" customHeight="1" x14ac:dyDescent="0.3">
      <c r="A21" s="14" t="s">
        <v>31</v>
      </c>
      <c r="B21" s="17">
        <v>0.04</v>
      </c>
    </row>
    <row r="22" spans="1:3" ht="17" customHeight="1" x14ac:dyDescent="0.3">
      <c r="A22" s="14" t="s">
        <v>32</v>
      </c>
      <c r="B22" s="17">
        <v>0.05</v>
      </c>
    </row>
    <row r="24" spans="1:3" ht="22" customHeight="1" x14ac:dyDescent="0.3">
      <c r="A24" s="18" t="s">
        <v>33</v>
      </c>
      <c r="B24" s="12"/>
      <c r="C24" s="13"/>
    </row>
    <row r="25" spans="1:3" ht="20" customHeight="1" x14ac:dyDescent="0.3">
      <c r="A25" s="19" t="s">
        <v>34</v>
      </c>
      <c r="B25" s="26">
        <f>B12*12*(1+B19)^(B5-B4)</f>
        <v>370811.91681865574</v>
      </c>
      <c r="C25" s="27"/>
    </row>
    <row r="26" spans="1:3" ht="20" customHeight="1" x14ac:dyDescent="0.3">
      <c r="A26" s="19" t="s">
        <v>35</v>
      </c>
      <c r="B26" s="26">
        <f>B25/B21</f>
        <v>9270297.9204663932</v>
      </c>
      <c r="C26" s="27"/>
    </row>
    <row r="27" spans="1:3" ht="20" customHeight="1" x14ac:dyDescent="0.3">
      <c r="A27" s="19" t="s">
        <v>36</v>
      </c>
      <c r="B27" s="26">
        <f>B5-B4</f>
        <v>32</v>
      </c>
      <c r="C27" s="27"/>
    </row>
    <row r="28" spans="1:3" ht="20" customHeight="1" x14ac:dyDescent="0.3">
      <c r="A28" s="19" t="s">
        <v>37</v>
      </c>
      <c r="B28" s="26">
        <f>IFERROR(FV(B18/12,B27*12,-B13*(1+B22)^(B27/2),B14),0)</f>
        <v>17961660.941257741</v>
      </c>
      <c r="C28" s="27"/>
    </row>
    <row r="29" spans="1:3" ht="20" customHeight="1" x14ac:dyDescent="0.3">
      <c r="A29" s="19" t="s">
        <v>38</v>
      </c>
      <c r="B29" s="28">
        <f>B28-B26</f>
        <v>8691363.0207913481</v>
      </c>
      <c r="C29" s="27"/>
    </row>
    <row r="30" spans="1:3" ht="20" customHeight="1" x14ac:dyDescent="0.3">
      <c r="A30" s="19" t="s">
        <v>39</v>
      </c>
      <c r="B30" s="29" t="str">
        <f>IF(B28&gt;=B26,"✅ نعم – ستحقق الاستقلال المالي في سن "&amp;B5,"❌ لا – الفجوة "&amp;TEXT(ABS(B29),"#,##0")&amp;" ريال")</f>
        <v>✅ نعم – ستحقق الاستقلال المالي في سن 32</v>
      </c>
      <c r="C30" s="30"/>
    </row>
    <row r="31" spans="1:3" ht="20" customHeight="1" x14ac:dyDescent="0.3">
      <c r="A31" s="19" t="s">
        <v>40</v>
      </c>
      <c r="B31" s="28">
        <f>IFERROR(-PMT(B18/12,B27*12,B14,B26),0)</f>
        <v>7012.6102118845583</v>
      </c>
      <c r="C31" s="27"/>
    </row>
    <row r="32" spans="1:3" ht="20" customHeight="1" x14ac:dyDescent="0.3">
      <c r="A32" s="19" t="s">
        <v>41</v>
      </c>
      <c r="B32" s="31">
        <f>IF(B11=0,0,B31/B11)</f>
        <v>0.38958945621580882</v>
      </c>
      <c r="C32" s="27"/>
    </row>
    <row r="33" spans="1:3" ht="20" customHeight="1" x14ac:dyDescent="0.3">
      <c r="A33" s="19" t="s">
        <v>42</v>
      </c>
      <c r="B33" s="26" t="str">
        <f>IFERROR(B5+NPER(B18/12,-B25/12,B28),"لن تنفد")</f>
        <v>لن تنفد</v>
      </c>
      <c r="C33" s="27"/>
    </row>
    <row r="35" spans="1:3" x14ac:dyDescent="0.3">
      <c r="A35" s="20" t="s">
        <v>43</v>
      </c>
    </row>
    <row r="36" spans="1:3" ht="13" customHeight="1" x14ac:dyDescent="0.3">
      <c r="A36" s="21" t="s">
        <v>44</v>
      </c>
    </row>
    <row r="37" spans="1:3" ht="13" customHeight="1" x14ac:dyDescent="0.3">
      <c r="A37" s="22" t="s">
        <v>45</v>
      </c>
    </row>
    <row r="38" spans="1:3" ht="13" customHeight="1" x14ac:dyDescent="0.3">
      <c r="A38" s="23" t="s">
        <v>46</v>
      </c>
    </row>
    <row r="39" spans="1:3" ht="13" customHeight="1" x14ac:dyDescent="0.3">
      <c r="A39" s="24" t="s">
        <v>47</v>
      </c>
    </row>
  </sheetData>
  <sheetProtection algorithmName="SHA-512" hashValue="K5iZYBGAnqVFPJaCxEIsBM7Gvo8BP58YZO9PHrhK2vhDpR7Us/q1t/6vtgQCAk+Oy43B8v+pE/LYxzdE/idr0Q==" saltValue="mbg1tqwqrx823yuqp3WCpQ==" spinCount="100000" sheet="1" objects="1" scenarios="1"/>
  <mergeCells count="7">
    <mergeCell ref="A10:C10"/>
    <mergeCell ref="A2:F2"/>
    <mergeCell ref="B30:C30"/>
    <mergeCell ref="A1:F1"/>
    <mergeCell ref="A17:C17"/>
    <mergeCell ref="A4:C4"/>
    <mergeCell ref="A24:C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rightToLeft="1" workbookViewId="0">
      <selection activeCell="E13" sqref="E13"/>
    </sheetView>
  </sheetViews>
  <sheetFormatPr defaultRowHeight="14" x14ac:dyDescent="0.3"/>
  <cols>
    <col min="1" max="2" width="8" style="9" customWidth="1"/>
    <col min="3" max="3" width="18" style="9" customWidth="1"/>
    <col min="4" max="6" width="20" style="9" customWidth="1"/>
    <col min="7" max="7" width="18" style="9" customWidth="1"/>
    <col min="8" max="8" width="12" style="9" customWidth="1"/>
    <col min="9" max="16384" width="8.6640625" style="9"/>
  </cols>
  <sheetData>
    <row r="1" spans="1:8" ht="28" customHeight="1" x14ac:dyDescent="0.3">
      <c r="A1" s="7" t="s">
        <v>48</v>
      </c>
      <c r="B1" s="8"/>
      <c r="C1" s="8"/>
      <c r="D1" s="8"/>
      <c r="E1" s="8"/>
      <c r="F1" s="8"/>
      <c r="G1" s="8"/>
      <c r="H1" s="8"/>
    </row>
    <row r="2" spans="1:8" ht="22" customHeight="1" x14ac:dyDescent="0.3">
      <c r="A2" s="32" t="s">
        <v>49</v>
      </c>
      <c r="B2" s="32" t="s">
        <v>50</v>
      </c>
      <c r="C2" s="32" t="s">
        <v>51</v>
      </c>
      <c r="D2" s="32" t="s">
        <v>52</v>
      </c>
      <c r="E2" s="32" t="s">
        <v>53</v>
      </c>
      <c r="F2" s="32" t="s">
        <v>54</v>
      </c>
      <c r="G2" s="33" t="s">
        <v>55</v>
      </c>
      <c r="H2" s="33" t="s">
        <v>56</v>
      </c>
    </row>
    <row r="3" spans="1:8" ht="17" customHeight="1" x14ac:dyDescent="0.3">
      <c r="A3" s="14" t="s">
        <v>57</v>
      </c>
      <c r="B3" s="14" t="s">
        <v>58</v>
      </c>
      <c r="C3" s="16">
        <v>80000</v>
      </c>
      <c r="D3" s="14" t="s">
        <v>59</v>
      </c>
      <c r="E3" s="16">
        <v>6000</v>
      </c>
      <c r="F3" s="14" t="s">
        <v>60</v>
      </c>
      <c r="G3" s="16">
        <v>2000000</v>
      </c>
    </row>
    <row r="4" spans="1:8" ht="15" customHeight="1" x14ac:dyDescent="0.3">
      <c r="A4" s="34">
        <v>1</v>
      </c>
      <c r="B4" s="35">
        <f>32+0</f>
        <v>32</v>
      </c>
      <c r="C4" s="36">
        <f>$E$3*12*(1.05)^0</f>
        <v>72000</v>
      </c>
      <c r="D4" s="36">
        <f>($C$3+C4)*(1.08)</f>
        <v>164160</v>
      </c>
      <c r="E4" s="36">
        <f>($C$3+C4)*(1.06)</f>
        <v>161120</v>
      </c>
      <c r="F4" s="36">
        <f>($C$3+C4)*(1.04)</f>
        <v>158080</v>
      </c>
      <c r="G4" s="36">
        <f t="shared" ref="G4:G33" si="0">$G$3</f>
        <v>2000000</v>
      </c>
      <c r="H4" s="37">
        <f t="shared" ref="H4:H33" si="1">MIN(E4/$G$3,1)</f>
        <v>8.0560000000000007E-2</v>
      </c>
    </row>
    <row r="5" spans="1:8" ht="15" customHeight="1" x14ac:dyDescent="0.3">
      <c r="A5" s="34">
        <v>2</v>
      </c>
      <c r="B5" s="38">
        <f>32+1</f>
        <v>33</v>
      </c>
      <c r="C5" s="39">
        <f>$E$3*12*(1.05)^1</f>
        <v>75600</v>
      </c>
      <c r="D5" s="39">
        <f t="shared" ref="D5:D33" si="2">(D4+C5)*(1.08)</f>
        <v>258940.80000000002</v>
      </c>
      <c r="E5" s="39">
        <f t="shared" ref="E5:E33" si="3">(E4+C5)*(1.06)</f>
        <v>250923.2</v>
      </c>
      <c r="F5" s="39">
        <f t="shared" ref="F5:F33" si="4">(F4+C5)*(1.04)</f>
        <v>243027.20000000001</v>
      </c>
      <c r="G5" s="39">
        <f t="shared" si="0"/>
        <v>2000000</v>
      </c>
      <c r="H5" s="40">
        <f t="shared" si="1"/>
        <v>0.12546160000000001</v>
      </c>
    </row>
    <row r="6" spans="1:8" ht="15" customHeight="1" x14ac:dyDescent="0.3">
      <c r="A6" s="34">
        <v>3</v>
      </c>
      <c r="B6" s="35">
        <f>32+2</f>
        <v>34</v>
      </c>
      <c r="C6" s="36">
        <f>$E$3*12*(1.05)^2</f>
        <v>79380</v>
      </c>
      <c r="D6" s="36">
        <f t="shared" si="2"/>
        <v>365386.46400000009</v>
      </c>
      <c r="E6" s="36">
        <f t="shared" si="3"/>
        <v>350121.39200000005</v>
      </c>
      <c r="F6" s="36">
        <f t="shared" si="4"/>
        <v>335303.48800000001</v>
      </c>
      <c r="G6" s="36">
        <f t="shared" si="0"/>
        <v>2000000</v>
      </c>
      <c r="H6" s="37">
        <f t="shared" si="1"/>
        <v>0.17506069600000002</v>
      </c>
    </row>
    <row r="7" spans="1:8" ht="15" customHeight="1" x14ac:dyDescent="0.3">
      <c r="A7" s="34">
        <v>4</v>
      </c>
      <c r="B7" s="38">
        <f>32+3</f>
        <v>35</v>
      </c>
      <c r="C7" s="39">
        <f>$E$3*12*(1.05)^3</f>
        <v>83349.000000000015</v>
      </c>
      <c r="D7" s="39">
        <f t="shared" si="2"/>
        <v>484634.30112000013</v>
      </c>
      <c r="E7" s="39">
        <f t="shared" si="3"/>
        <v>459478.61552000005</v>
      </c>
      <c r="F7" s="39">
        <f t="shared" si="4"/>
        <v>435398.58752</v>
      </c>
      <c r="G7" s="39">
        <f t="shared" si="0"/>
        <v>2000000</v>
      </c>
      <c r="H7" s="40">
        <f t="shared" si="1"/>
        <v>0.22973930776000004</v>
      </c>
    </row>
    <row r="8" spans="1:8" ht="15" customHeight="1" x14ac:dyDescent="0.3">
      <c r="A8" s="34">
        <v>5</v>
      </c>
      <c r="B8" s="41">
        <f>32+4</f>
        <v>36</v>
      </c>
      <c r="C8" s="42">
        <f>$E$3*12*(1.05)^4</f>
        <v>87516.45</v>
      </c>
      <c r="D8" s="42">
        <f t="shared" si="2"/>
        <v>617922.81120960019</v>
      </c>
      <c r="E8" s="42">
        <f t="shared" si="3"/>
        <v>579814.76945120015</v>
      </c>
      <c r="F8" s="42">
        <f t="shared" si="4"/>
        <v>543831.63902080001</v>
      </c>
      <c r="G8" s="42">
        <f t="shared" si="0"/>
        <v>2000000</v>
      </c>
      <c r="H8" s="43">
        <f t="shared" si="1"/>
        <v>0.28990738472560007</v>
      </c>
    </row>
    <row r="9" spans="1:8" ht="15" customHeight="1" x14ac:dyDescent="0.3">
      <c r="A9" s="34">
        <v>6</v>
      </c>
      <c r="B9" s="38">
        <f>32+5</f>
        <v>37</v>
      </c>
      <c r="C9" s="39">
        <f>$E$3*12*(1.05)^5</f>
        <v>91892.272500000006</v>
      </c>
      <c r="D9" s="39">
        <f t="shared" si="2"/>
        <v>766600.29040636821</v>
      </c>
      <c r="E9" s="39">
        <f t="shared" si="3"/>
        <v>712009.46446827217</v>
      </c>
      <c r="F9" s="39">
        <f t="shared" si="4"/>
        <v>661152.86798163201</v>
      </c>
      <c r="G9" s="39">
        <f t="shared" si="0"/>
        <v>2000000</v>
      </c>
      <c r="H9" s="40">
        <f t="shared" si="1"/>
        <v>0.35600473223413609</v>
      </c>
    </row>
    <row r="10" spans="1:8" ht="15" customHeight="1" x14ac:dyDescent="0.3">
      <c r="A10" s="34">
        <v>7</v>
      </c>
      <c r="B10" s="35">
        <f>32+6</f>
        <v>38</v>
      </c>
      <c r="C10" s="36">
        <f>$E$3*12*(1.05)^6</f>
        <v>96486.886125000005</v>
      </c>
      <c r="D10" s="36">
        <f t="shared" si="2"/>
        <v>932134.15065387764</v>
      </c>
      <c r="E10" s="36">
        <f t="shared" si="3"/>
        <v>857006.13162886852</v>
      </c>
      <c r="F10" s="36">
        <f t="shared" si="4"/>
        <v>787945.34427089733</v>
      </c>
      <c r="G10" s="36">
        <f t="shared" si="0"/>
        <v>2000000</v>
      </c>
      <c r="H10" s="37">
        <f t="shared" si="1"/>
        <v>0.42850306581443426</v>
      </c>
    </row>
    <row r="11" spans="1:8" ht="15" customHeight="1" x14ac:dyDescent="0.3">
      <c r="A11" s="34">
        <v>8</v>
      </c>
      <c r="B11" s="38">
        <f>32+7</f>
        <v>39</v>
      </c>
      <c r="C11" s="39">
        <f>$E$3*12*(1.05)^7</f>
        <v>101311.23043125002</v>
      </c>
      <c r="D11" s="39">
        <f t="shared" si="2"/>
        <v>1116121.0115719379</v>
      </c>
      <c r="E11" s="39">
        <f t="shared" si="3"/>
        <v>1015816.4037837257</v>
      </c>
      <c r="F11" s="39">
        <f t="shared" si="4"/>
        <v>924826.83769023337</v>
      </c>
      <c r="G11" s="39">
        <f t="shared" si="0"/>
        <v>2000000</v>
      </c>
      <c r="H11" s="40">
        <f t="shared" si="1"/>
        <v>0.50790820189186281</v>
      </c>
    </row>
    <row r="12" spans="1:8" ht="15" customHeight="1" x14ac:dyDescent="0.3">
      <c r="A12" s="34">
        <v>9</v>
      </c>
      <c r="B12" s="35">
        <f>32+8</f>
        <v>40</v>
      </c>
      <c r="C12" s="36">
        <f>$E$3*12*(1.05)^8</f>
        <v>106376.79195281251</v>
      </c>
      <c r="D12" s="36">
        <f t="shared" si="2"/>
        <v>1320297.6278067306</v>
      </c>
      <c r="E12" s="36">
        <f t="shared" si="3"/>
        <v>1189524.7874807306</v>
      </c>
      <c r="F12" s="36">
        <f t="shared" si="4"/>
        <v>1072451.7748287676</v>
      </c>
      <c r="G12" s="36">
        <f t="shared" si="0"/>
        <v>2000000</v>
      </c>
      <c r="H12" s="37">
        <f t="shared" si="1"/>
        <v>0.59476239374036532</v>
      </c>
    </row>
    <row r="13" spans="1:8" ht="15" customHeight="1" x14ac:dyDescent="0.3">
      <c r="A13" s="34">
        <v>10</v>
      </c>
      <c r="B13" s="41">
        <f>32+9</f>
        <v>41</v>
      </c>
      <c r="C13" s="42">
        <f>$E$3*12*(1.05)^9</f>
        <v>111695.63155045314</v>
      </c>
      <c r="D13" s="42">
        <f t="shared" si="2"/>
        <v>1546552.7201057584</v>
      </c>
      <c r="E13" s="42">
        <f t="shared" si="3"/>
        <v>1379293.6441730547</v>
      </c>
      <c r="F13" s="42">
        <f t="shared" si="4"/>
        <v>1231513.3026343896</v>
      </c>
      <c r="G13" s="42">
        <f t="shared" si="0"/>
        <v>2000000</v>
      </c>
      <c r="H13" s="43">
        <f t="shared" si="1"/>
        <v>0.68964682208652739</v>
      </c>
    </row>
    <row r="14" spans="1:8" ht="15" customHeight="1" x14ac:dyDescent="0.3">
      <c r="A14" s="34">
        <v>11</v>
      </c>
      <c r="B14" s="35">
        <f>32+10</f>
        <v>42</v>
      </c>
      <c r="C14" s="36">
        <f>$E$3*12*(1.05)^10</f>
        <v>117280.41312797579</v>
      </c>
      <c r="D14" s="36">
        <f t="shared" si="2"/>
        <v>1796939.7838924329</v>
      </c>
      <c r="E14" s="36">
        <f t="shared" si="3"/>
        <v>1586368.5007390925</v>
      </c>
      <c r="F14" s="36">
        <f t="shared" si="4"/>
        <v>1402745.46439286</v>
      </c>
      <c r="G14" s="36">
        <f t="shared" si="0"/>
        <v>2000000</v>
      </c>
      <c r="H14" s="37">
        <f t="shared" si="1"/>
        <v>0.79318425036954621</v>
      </c>
    </row>
    <row r="15" spans="1:8" ht="15" customHeight="1" x14ac:dyDescent="0.3">
      <c r="A15" s="34">
        <v>12</v>
      </c>
      <c r="B15" s="38">
        <f>32+11</f>
        <v>43</v>
      </c>
      <c r="C15" s="39">
        <f>$E$3*12*(1.05)^11</f>
        <v>123144.43378437459</v>
      </c>
      <c r="D15" s="39">
        <f t="shared" si="2"/>
        <v>2073690.9550909521</v>
      </c>
      <c r="E15" s="39">
        <f t="shared" si="3"/>
        <v>1812083.710594875</v>
      </c>
      <c r="F15" s="39">
        <f t="shared" si="4"/>
        <v>1586925.4941043239</v>
      </c>
      <c r="G15" s="39">
        <f t="shared" si="0"/>
        <v>2000000</v>
      </c>
      <c r="H15" s="40">
        <f t="shared" si="1"/>
        <v>0.90604185529743753</v>
      </c>
    </row>
    <row r="16" spans="1:8" ht="15" customHeight="1" x14ac:dyDescent="0.3">
      <c r="A16" s="34">
        <v>13</v>
      </c>
      <c r="B16" s="35">
        <f>32+12</f>
        <v>44</v>
      </c>
      <c r="C16" s="36">
        <f>$E$3*12*(1.05)^12</f>
        <v>129301.6554735933</v>
      </c>
      <c r="D16" s="36">
        <f t="shared" si="2"/>
        <v>2379232.0194097091</v>
      </c>
      <c r="E16" s="36">
        <f t="shared" si="3"/>
        <v>2057868.4880325766</v>
      </c>
      <c r="F16" s="36">
        <f t="shared" si="4"/>
        <v>1784876.2355610339</v>
      </c>
      <c r="G16" s="36">
        <f t="shared" si="0"/>
        <v>2000000</v>
      </c>
      <c r="H16" s="37">
        <f t="shared" si="1"/>
        <v>1</v>
      </c>
    </row>
    <row r="17" spans="1:8" ht="15" customHeight="1" x14ac:dyDescent="0.3">
      <c r="A17" s="34">
        <v>14</v>
      </c>
      <c r="B17" s="38">
        <f>32+13</f>
        <v>45</v>
      </c>
      <c r="C17" s="39">
        <f>$E$3*12*(1.05)^13</f>
        <v>135766.738247273</v>
      </c>
      <c r="D17" s="39">
        <f t="shared" si="2"/>
        <v>2716198.6582695409</v>
      </c>
      <c r="E17" s="39">
        <f t="shared" si="3"/>
        <v>2325253.3398566409</v>
      </c>
      <c r="F17" s="39">
        <f t="shared" si="4"/>
        <v>1997468.6927606394</v>
      </c>
      <c r="G17" s="39">
        <f t="shared" si="0"/>
        <v>2000000</v>
      </c>
      <c r="H17" s="40">
        <f t="shared" si="1"/>
        <v>1</v>
      </c>
    </row>
    <row r="18" spans="1:8" ht="15" customHeight="1" x14ac:dyDescent="0.3">
      <c r="A18" s="34">
        <v>15</v>
      </c>
      <c r="B18" s="41">
        <f>32+14</f>
        <v>46</v>
      </c>
      <c r="C18" s="42">
        <f>$E$3*12*(1.05)^14</f>
        <v>142555.07515963662</v>
      </c>
      <c r="D18" s="42">
        <f t="shared" si="2"/>
        <v>3087454.032103512</v>
      </c>
      <c r="E18" s="42">
        <f t="shared" si="3"/>
        <v>2615876.9199172547</v>
      </c>
      <c r="F18" s="42">
        <f t="shared" si="4"/>
        <v>2225624.7186370874</v>
      </c>
      <c r="G18" s="42">
        <f t="shared" si="0"/>
        <v>2000000</v>
      </c>
      <c r="H18" s="43">
        <f t="shared" si="1"/>
        <v>1</v>
      </c>
    </row>
    <row r="19" spans="1:8" ht="15" customHeight="1" x14ac:dyDescent="0.3">
      <c r="A19" s="34">
        <v>16</v>
      </c>
      <c r="B19" s="38">
        <f>32+15</f>
        <v>47</v>
      </c>
      <c r="C19" s="39">
        <f>$E$3*12*(1.05)^15</f>
        <v>149682.82891761849</v>
      </c>
      <c r="D19" s="39">
        <f t="shared" si="2"/>
        <v>3496107.8099028212</v>
      </c>
      <c r="E19" s="39">
        <f t="shared" si="3"/>
        <v>2931493.3337649656</v>
      </c>
      <c r="F19" s="39">
        <f t="shared" si="4"/>
        <v>2470319.8494568942</v>
      </c>
      <c r="G19" s="39">
        <f t="shared" si="0"/>
        <v>2000000</v>
      </c>
      <c r="H19" s="40">
        <f t="shared" si="1"/>
        <v>1</v>
      </c>
    </row>
    <row r="20" spans="1:8" ht="15" customHeight="1" x14ac:dyDescent="0.3">
      <c r="A20" s="34">
        <v>17</v>
      </c>
      <c r="B20" s="35">
        <f>32+16</f>
        <v>48</v>
      </c>
      <c r="C20" s="36">
        <f>$E$3*12*(1.05)^16</f>
        <v>157166.97036349939</v>
      </c>
      <c r="D20" s="36">
        <f t="shared" si="2"/>
        <v>3945536.7626876268</v>
      </c>
      <c r="E20" s="36">
        <f t="shared" si="3"/>
        <v>3273979.9223761735</v>
      </c>
      <c r="F20" s="36">
        <f t="shared" si="4"/>
        <v>2732586.2926132097</v>
      </c>
      <c r="G20" s="36">
        <f t="shared" si="0"/>
        <v>2000000</v>
      </c>
      <c r="H20" s="37">
        <f t="shared" si="1"/>
        <v>1</v>
      </c>
    </row>
    <row r="21" spans="1:8" ht="15" customHeight="1" x14ac:dyDescent="0.3">
      <c r="A21" s="34">
        <v>18</v>
      </c>
      <c r="B21" s="38">
        <f>32+17</f>
        <v>49</v>
      </c>
      <c r="C21" s="39">
        <f>$E$3*12*(1.05)^17</f>
        <v>165025.31888167438</v>
      </c>
      <c r="D21" s="39">
        <f t="shared" si="2"/>
        <v>4439407.0480948454</v>
      </c>
      <c r="E21" s="39">
        <f t="shared" si="3"/>
        <v>3645345.5557333189</v>
      </c>
      <c r="F21" s="39">
        <f t="shared" si="4"/>
        <v>3013516.0759546794</v>
      </c>
      <c r="G21" s="39">
        <f t="shared" si="0"/>
        <v>2000000</v>
      </c>
      <c r="H21" s="40">
        <f t="shared" si="1"/>
        <v>1</v>
      </c>
    </row>
    <row r="22" spans="1:8" ht="15" customHeight="1" x14ac:dyDescent="0.3">
      <c r="A22" s="34">
        <v>19</v>
      </c>
      <c r="B22" s="35">
        <f>32+18</f>
        <v>50</v>
      </c>
      <c r="C22" s="36">
        <f>$E$3*12*(1.05)^18</f>
        <v>173276.58482575809</v>
      </c>
      <c r="D22" s="36">
        <f t="shared" si="2"/>
        <v>4981698.3235542523</v>
      </c>
      <c r="E22" s="36">
        <f t="shared" si="3"/>
        <v>4047739.4689926216</v>
      </c>
      <c r="F22" s="36">
        <f t="shared" si="4"/>
        <v>3314264.3672116548</v>
      </c>
      <c r="G22" s="36">
        <f t="shared" si="0"/>
        <v>2000000</v>
      </c>
      <c r="H22" s="37">
        <f t="shared" si="1"/>
        <v>1</v>
      </c>
    </row>
    <row r="23" spans="1:8" ht="15" customHeight="1" x14ac:dyDescent="0.3">
      <c r="A23" s="34">
        <v>20</v>
      </c>
      <c r="B23" s="41">
        <f>32+19</f>
        <v>51</v>
      </c>
      <c r="C23" s="42">
        <f>$E$3*12*(1.05)^19</f>
        <v>181940.41406704602</v>
      </c>
      <c r="D23" s="42">
        <f t="shared" si="2"/>
        <v>5576729.8366310019</v>
      </c>
      <c r="E23" s="42">
        <f t="shared" si="3"/>
        <v>4483460.6760432478</v>
      </c>
      <c r="F23" s="42">
        <f t="shared" si="4"/>
        <v>3636052.9725298486</v>
      </c>
      <c r="G23" s="42">
        <f t="shared" si="0"/>
        <v>2000000</v>
      </c>
      <c r="H23" s="43">
        <f t="shared" si="1"/>
        <v>1</v>
      </c>
    </row>
    <row r="24" spans="1:8" ht="15" customHeight="1" x14ac:dyDescent="0.3">
      <c r="A24" s="34">
        <v>21</v>
      </c>
      <c r="B24" s="35">
        <f>32+20</f>
        <v>52</v>
      </c>
      <c r="C24" s="36">
        <f>$E$3*12*(1.05)^20</f>
        <v>191037.43477039831</v>
      </c>
      <c r="D24" s="36">
        <f t="shared" si="2"/>
        <v>6229188.6531135123</v>
      </c>
      <c r="E24" s="36">
        <f t="shared" si="3"/>
        <v>4954967.9974624645</v>
      </c>
      <c r="F24" s="36">
        <f t="shared" si="4"/>
        <v>3980174.0235922569</v>
      </c>
      <c r="G24" s="36">
        <f t="shared" si="0"/>
        <v>2000000</v>
      </c>
      <c r="H24" s="37">
        <f t="shared" si="1"/>
        <v>1</v>
      </c>
    </row>
    <row r="25" spans="1:8" ht="15" customHeight="1" x14ac:dyDescent="0.3">
      <c r="A25" s="34">
        <v>22</v>
      </c>
      <c r="B25" s="38">
        <f>32+21</f>
        <v>53</v>
      </c>
      <c r="C25" s="39">
        <f>$E$3*12*(1.05)^21</f>
        <v>200589.30650891821</v>
      </c>
      <c r="D25" s="39">
        <f t="shared" si="2"/>
        <v>6944160.1963922251</v>
      </c>
      <c r="E25" s="39">
        <f t="shared" si="3"/>
        <v>5464890.7422096664</v>
      </c>
      <c r="F25" s="39">
        <f t="shared" si="4"/>
        <v>4347993.8633052222</v>
      </c>
      <c r="G25" s="39">
        <f t="shared" si="0"/>
        <v>2000000</v>
      </c>
      <c r="H25" s="40">
        <f t="shared" si="1"/>
        <v>1</v>
      </c>
    </row>
    <row r="26" spans="1:8" ht="15" customHeight="1" x14ac:dyDescent="0.3">
      <c r="A26" s="34">
        <v>23</v>
      </c>
      <c r="B26" s="35">
        <f>32+22</f>
        <v>54</v>
      </c>
      <c r="C26" s="36">
        <f>$E$3*12*(1.05)^22</f>
        <v>210618.7718343641</v>
      </c>
      <c r="D26" s="36">
        <f t="shared" si="2"/>
        <v>7727161.2856847169</v>
      </c>
      <c r="E26" s="36">
        <f t="shared" si="3"/>
        <v>6016040.0848866729</v>
      </c>
      <c r="F26" s="36">
        <f t="shared" si="4"/>
        <v>4740957.1405451698</v>
      </c>
      <c r="G26" s="36">
        <f t="shared" si="0"/>
        <v>2000000</v>
      </c>
      <c r="H26" s="37">
        <f t="shared" si="1"/>
        <v>1</v>
      </c>
    </row>
    <row r="27" spans="1:8" ht="15" customHeight="1" x14ac:dyDescent="0.3">
      <c r="A27" s="34">
        <v>24</v>
      </c>
      <c r="B27" s="38">
        <f>32+23</f>
        <v>55</v>
      </c>
      <c r="C27" s="39">
        <f>$E$3*12*(1.05)^23</f>
        <v>221149.71042608237</v>
      </c>
      <c r="D27" s="39">
        <f t="shared" si="2"/>
        <v>8584175.8757996634</v>
      </c>
      <c r="E27" s="39">
        <f t="shared" si="3"/>
        <v>6611421.1830315208</v>
      </c>
      <c r="F27" s="39">
        <f t="shared" si="4"/>
        <v>5160591.1250101021</v>
      </c>
      <c r="G27" s="39">
        <f t="shared" si="0"/>
        <v>2000000</v>
      </c>
      <c r="H27" s="40">
        <f t="shared" si="1"/>
        <v>1</v>
      </c>
    </row>
    <row r="28" spans="1:8" ht="15" customHeight="1" x14ac:dyDescent="0.3">
      <c r="A28" s="34">
        <v>25</v>
      </c>
      <c r="B28" s="41">
        <f>32+24</f>
        <v>56</v>
      </c>
      <c r="C28" s="42">
        <f>$E$3*12*(1.05)^24</f>
        <v>232207.19594738644</v>
      </c>
      <c r="D28" s="42">
        <f t="shared" si="2"/>
        <v>9521693.7174868137</v>
      </c>
      <c r="E28" s="42">
        <f t="shared" si="3"/>
        <v>7254246.081717642</v>
      </c>
      <c r="F28" s="42">
        <f t="shared" si="4"/>
        <v>5608510.2537957877</v>
      </c>
      <c r="G28" s="42">
        <f t="shared" si="0"/>
        <v>2000000</v>
      </c>
      <c r="H28" s="43">
        <f t="shared" si="1"/>
        <v>1</v>
      </c>
    </row>
    <row r="29" spans="1:8" ht="15" customHeight="1" x14ac:dyDescent="0.3">
      <c r="A29" s="34">
        <v>26</v>
      </c>
      <c r="B29" s="38">
        <f>32+25</f>
        <v>57</v>
      </c>
      <c r="C29" s="39">
        <f>$E$3*12*(1.05)^25</f>
        <v>243817.55574475578</v>
      </c>
      <c r="D29" s="39">
        <f t="shared" si="2"/>
        <v>10546752.175090095</v>
      </c>
      <c r="E29" s="39">
        <f t="shared" si="3"/>
        <v>7947947.4557101419</v>
      </c>
      <c r="F29" s="39">
        <f t="shared" si="4"/>
        <v>6086420.9219221659</v>
      </c>
      <c r="G29" s="39">
        <f t="shared" si="0"/>
        <v>2000000</v>
      </c>
      <c r="H29" s="40">
        <f t="shared" si="1"/>
        <v>1</v>
      </c>
    </row>
    <row r="30" spans="1:8" ht="15" customHeight="1" x14ac:dyDescent="0.3">
      <c r="A30" s="34">
        <v>27</v>
      </c>
      <c r="B30" s="35">
        <f>32+26</f>
        <v>58</v>
      </c>
      <c r="C30" s="36">
        <f>$E$3*12*(1.05)^26</f>
        <v>256008.43353199356</v>
      </c>
      <c r="D30" s="36">
        <f t="shared" si="2"/>
        <v>11666981.457311857</v>
      </c>
      <c r="E30" s="36">
        <f t="shared" si="3"/>
        <v>8696193.2425966654</v>
      </c>
      <c r="F30" s="36">
        <f t="shared" si="4"/>
        <v>6596126.5296723265</v>
      </c>
      <c r="G30" s="36">
        <f t="shared" si="0"/>
        <v>2000000</v>
      </c>
      <c r="H30" s="37">
        <f t="shared" si="1"/>
        <v>1</v>
      </c>
    </row>
    <row r="31" spans="1:8" ht="15" customHeight="1" x14ac:dyDescent="0.3">
      <c r="A31" s="34">
        <v>28</v>
      </c>
      <c r="B31" s="38">
        <f>32+27</f>
        <v>59</v>
      </c>
      <c r="C31" s="39">
        <f>$E$3*12*(1.05)^27</f>
        <v>268808.8552085933</v>
      </c>
      <c r="D31" s="39">
        <f t="shared" si="2"/>
        <v>12890653.537522087</v>
      </c>
      <c r="E31" s="39">
        <f t="shared" si="3"/>
        <v>9502902.2236735746</v>
      </c>
      <c r="F31" s="39">
        <f t="shared" si="4"/>
        <v>7139532.8002761574</v>
      </c>
      <c r="G31" s="39">
        <f t="shared" si="0"/>
        <v>2000000</v>
      </c>
      <c r="H31" s="40">
        <f t="shared" si="1"/>
        <v>1</v>
      </c>
    </row>
    <row r="32" spans="1:8" ht="15" customHeight="1" x14ac:dyDescent="0.3">
      <c r="A32" s="34">
        <v>29</v>
      </c>
      <c r="B32" s="35">
        <f>32+28</f>
        <v>60</v>
      </c>
      <c r="C32" s="36">
        <f>$E$3*12*(1.05)^28</f>
        <v>282249.29796902288</v>
      </c>
      <c r="D32" s="36">
        <f t="shared" si="2"/>
        <v>14226735.062330399</v>
      </c>
      <c r="E32" s="36">
        <f t="shared" si="3"/>
        <v>10372260.612941153</v>
      </c>
      <c r="F32" s="36">
        <f t="shared" si="4"/>
        <v>7718653.3821749873</v>
      </c>
      <c r="G32" s="36">
        <f t="shared" si="0"/>
        <v>2000000</v>
      </c>
      <c r="H32" s="37">
        <f t="shared" si="1"/>
        <v>1</v>
      </c>
    </row>
    <row r="33" spans="1:8" ht="15" customHeight="1" x14ac:dyDescent="0.3">
      <c r="A33" s="34">
        <v>30</v>
      </c>
      <c r="B33" s="41">
        <f>32+29</f>
        <v>61</v>
      </c>
      <c r="C33" s="42">
        <f>$E$3*12*(1.05)^29</f>
        <v>296361.76286747411</v>
      </c>
      <c r="D33" s="42">
        <f t="shared" si="2"/>
        <v>15684944.571213705</v>
      </c>
      <c r="E33" s="42">
        <f t="shared" si="3"/>
        <v>11308739.718357146</v>
      </c>
      <c r="F33" s="42">
        <f t="shared" si="4"/>
        <v>8335615.7508441601</v>
      </c>
      <c r="G33" s="42">
        <f t="shared" si="0"/>
        <v>2000000</v>
      </c>
      <c r="H33" s="43">
        <f t="shared" si="1"/>
        <v>1</v>
      </c>
    </row>
    <row r="34" spans="1:8" x14ac:dyDescent="0.3">
      <c r="A34" s="20" t="s">
        <v>43</v>
      </c>
    </row>
    <row r="35" spans="1:8" ht="13" customHeight="1" x14ac:dyDescent="0.3">
      <c r="A35" s="21" t="s">
        <v>44</v>
      </c>
    </row>
    <row r="36" spans="1:8" ht="13" customHeight="1" x14ac:dyDescent="0.3">
      <c r="A36" s="22" t="s">
        <v>45</v>
      </c>
    </row>
    <row r="37" spans="1:8" ht="13" customHeight="1" x14ac:dyDescent="0.3">
      <c r="A37" s="23" t="s">
        <v>46</v>
      </c>
    </row>
    <row r="38" spans="1:8" ht="13" customHeight="1" x14ac:dyDescent="0.3">
      <c r="A38" s="24" t="s">
        <v>47</v>
      </c>
    </row>
  </sheetData>
  <sheetProtection algorithmName="SHA-512" hashValue="KPxSGpennjo7OQxVsAHchUnWNxb1dAOtcE/jP6AC/3+ejrti/FmN7XW7Vi2QmT+oBPcF51QiKR9b6immWIeuqA==" saltValue="gpl7GU/YdZUZg20tK/c99Q==" spinCount="100000" sheet="1" objects="1" scenarios="1"/>
  <mergeCells count="1"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rightToLeft="1" topLeftCell="A6" workbookViewId="0">
      <selection activeCell="D20" sqref="D20"/>
    </sheetView>
  </sheetViews>
  <sheetFormatPr defaultRowHeight="14" x14ac:dyDescent="0.3"/>
  <cols>
    <col min="1" max="1" width="28" style="9" customWidth="1"/>
    <col min="2" max="3" width="18" style="9" customWidth="1"/>
    <col min="4" max="4" width="14" style="9" customWidth="1"/>
    <col min="5" max="5" width="20" style="9" customWidth="1"/>
    <col min="6" max="16384" width="8.6640625" style="9"/>
  </cols>
  <sheetData>
    <row r="1" spans="1:5" ht="28" customHeight="1" x14ac:dyDescent="0.3">
      <c r="A1" s="7" t="s">
        <v>61</v>
      </c>
      <c r="B1" s="8"/>
      <c r="C1" s="8"/>
      <c r="D1" s="8"/>
      <c r="E1" s="8"/>
    </row>
    <row r="3" spans="1:5" ht="22" customHeight="1" x14ac:dyDescent="0.3">
      <c r="A3" s="11" t="s">
        <v>62</v>
      </c>
      <c r="B3" s="12"/>
      <c r="C3" s="12"/>
      <c r="D3" s="12"/>
      <c r="E3" s="13"/>
    </row>
    <row r="4" spans="1:5" ht="20" customHeight="1" x14ac:dyDescent="0.3">
      <c r="A4" s="32" t="s">
        <v>63</v>
      </c>
      <c r="B4" s="32" t="s">
        <v>64</v>
      </c>
      <c r="C4" s="32" t="s">
        <v>65</v>
      </c>
      <c r="D4" s="32" t="s">
        <v>66</v>
      </c>
      <c r="E4" s="32" t="s">
        <v>67</v>
      </c>
    </row>
    <row r="5" spans="1:5" ht="17" customHeight="1" x14ac:dyDescent="0.3">
      <c r="A5" s="14" t="s">
        <v>68</v>
      </c>
      <c r="B5" s="16">
        <v>3000</v>
      </c>
      <c r="C5" s="46">
        <f t="shared" ref="C5:C14" si="0">B5*12</f>
        <v>36000</v>
      </c>
      <c r="D5" s="25">
        <f t="shared" ref="D5:D14" si="1">IF(SUM(B$5:B$14)=0,0,B5/SUM(B$5:B$14))</f>
        <v>0.25641025641025639</v>
      </c>
      <c r="E5" s="44"/>
    </row>
    <row r="6" spans="1:5" ht="17" customHeight="1" x14ac:dyDescent="0.3">
      <c r="A6" s="14" t="s">
        <v>69</v>
      </c>
      <c r="B6" s="16">
        <v>2500</v>
      </c>
      <c r="C6" s="46">
        <f t="shared" si="0"/>
        <v>30000</v>
      </c>
      <c r="D6" s="25">
        <f t="shared" si="1"/>
        <v>0.21367521367521367</v>
      </c>
      <c r="E6" s="44"/>
    </row>
    <row r="7" spans="1:5" ht="17" customHeight="1" x14ac:dyDescent="0.3">
      <c r="A7" s="14" t="s">
        <v>70</v>
      </c>
      <c r="B7" s="16">
        <v>800</v>
      </c>
      <c r="C7" s="46">
        <f t="shared" si="0"/>
        <v>9600</v>
      </c>
      <c r="D7" s="25">
        <f t="shared" si="1"/>
        <v>6.8376068376068383E-2</v>
      </c>
      <c r="E7" s="44"/>
    </row>
    <row r="8" spans="1:5" ht="17" customHeight="1" x14ac:dyDescent="0.3">
      <c r="A8" s="14" t="s">
        <v>71</v>
      </c>
      <c r="B8" s="16">
        <v>1200</v>
      </c>
      <c r="C8" s="46">
        <f t="shared" si="0"/>
        <v>14400</v>
      </c>
      <c r="D8" s="25">
        <f t="shared" si="1"/>
        <v>0.10256410256410256</v>
      </c>
      <c r="E8" s="44" t="s">
        <v>72</v>
      </c>
    </row>
    <row r="9" spans="1:5" ht="17" customHeight="1" x14ac:dyDescent="0.3">
      <c r="A9" s="14" t="s">
        <v>73</v>
      </c>
      <c r="B9" s="16">
        <v>1500</v>
      </c>
      <c r="C9" s="46">
        <f t="shared" si="0"/>
        <v>18000</v>
      </c>
      <c r="D9" s="25">
        <f t="shared" si="1"/>
        <v>0.12820512820512819</v>
      </c>
      <c r="E9" s="44" t="s">
        <v>74</v>
      </c>
    </row>
    <row r="10" spans="1:5" ht="17" customHeight="1" x14ac:dyDescent="0.3">
      <c r="A10" s="14" t="s">
        <v>75</v>
      </c>
      <c r="B10" s="16">
        <v>1000</v>
      </c>
      <c r="C10" s="46">
        <f t="shared" si="0"/>
        <v>12000</v>
      </c>
      <c r="D10" s="25">
        <f t="shared" si="1"/>
        <v>8.5470085470085472E-2</v>
      </c>
      <c r="E10" s="44"/>
    </row>
    <row r="11" spans="1:5" ht="17" customHeight="1" x14ac:dyDescent="0.3">
      <c r="A11" s="14" t="s">
        <v>76</v>
      </c>
      <c r="B11" s="16">
        <v>300</v>
      </c>
      <c r="C11" s="46">
        <f t="shared" si="0"/>
        <v>3600</v>
      </c>
      <c r="D11" s="25">
        <f t="shared" si="1"/>
        <v>2.564102564102564E-2</v>
      </c>
      <c r="E11" s="44"/>
    </row>
    <row r="12" spans="1:5" ht="17" customHeight="1" x14ac:dyDescent="0.3">
      <c r="A12" s="14" t="s">
        <v>77</v>
      </c>
      <c r="B12" s="16">
        <v>400</v>
      </c>
      <c r="C12" s="46">
        <f t="shared" si="0"/>
        <v>4800</v>
      </c>
      <c r="D12" s="25">
        <f t="shared" si="1"/>
        <v>3.4188034188034191E-2</v>
      </c>
      <c r="E12" s="44"/>
    </row>
    <row r="13" spans="1:5" ht="17" customHeight="1" x14ac:dyDescent="0.3">
      <c r="A13" s="14" t="s">
        <v>78</v>
      </c>
      <c r="B13" s="16">
        <v>500</v>
      </c>
      <c r="C13" s="46">
        <f t="shared" si="0"/>
        <v>6000</v>
      </c>
      <c r="D13" s="25">
        <f t="shared" si="1"/>
        <v>4.2735042735042736E-2</v>
      </c>
      <c r="E13" s="44"/>
    </row>
    <row r="14" spans="1:5" ht="17" customHeight="1" x14ac:dyDescent="0.3">
      <c r="A14" s="14" t="s">
        <v>79</v>
      </c>
      <c r="B14" s="16">
        <v>500</v>
      </c>
      <c r="C14" s="46">
        <f t="shared" si="0"/>
        <v>6000</v>
      </c>
      <c r="D14" s="25">
        <f t="shared" si="1"/>
        <v>4.2735042735042736E-2</v>
      </c>
      <c r="E14" s="44" t="s">
        <v>80</v>
      </c>
    </row>
    <row r="15" spans="1:5" ht="20" customHeight="1" x14ac:dyDescent="0.3">
      <c r="A15" s="45" t="s">
        <v>81</v>
      </c>
      <c r="B15" s="47">
        <f>SUM(B5:B14)</f>
        <v>11700</v>
      </c>
      <c r="C15" s="47">
        <f>SUM(C5:C14)</f>
        <v>140400</v>
      </c>
    </row>
    <row r="17" spans="1:5" ht="22" customHeight="1" x14ac:dyDescent="0.3">
      <c r="A17" s="18" t="s">
        <v>82</v>
      </c>
      <c r="B17" s="12"/>
      <c r="C17" s="12"/>
      <c r="D17" s="12"/>
      <c r="E17" s="13"/>
    </row>
    <row r="18" spans="1:5" ht="18" customHeight="1" x14ac:dyDescent="0.3">
      <c r="A18" s="19" t="s">
        <v>83</v>
      </c>
      <c r="B18" s="46">
        <f>C16</f>
        <v>0</v>
      </c>
    </row>
    <row r="19" spans="1:5" ht="18" customHeight="1" x14ac:dyDescent="0.3">
      <c r="A19" s="19" t="s">
        <v>84</v>
      </c>
      <c r="B19" s="48">
        <v>0.04</v>
      </c>
    </row>
    <row r="20" spans="1:5" ht="18" customHeight="1" x14ac:dyDescent="0.3">
      <c r="A20" s="19" t="s">
        <v>85</v>
      </c>
      <c r="B20" s="47">
        <f>B18/B19</f>
        <v>0</v>
      </c>
    </row>
    <row r="21" spans="1:5" ht="18" customHeight="1" x14ac:dyDescent="0.3">
      <c r="A21" s="19" t="s">
        <v>86</v>
      </c>
      <c r="B21" s="47">
        <f>B19*1.2</f>
        <v>4.8000000000000001E-2</v>
      </c>
    </row>
    <row r="23" spans="1:5" x14ac:dyDescent="0.3">
      <c r="A23" s="20" t="s">
        <v>43</v>
      </c>
    </row>
    <row r="24" spans="1:5" ht="13" customHeight="1" x14ac:dyDescent="0.3">
      <c r="A24" s="21" t="s">
        <v>44</v>
      </c>
    </row>
    <row r="25" spans="1:5" ht="13" customHeight="1" x14ac:dyDescent="0.3">
      <c r="A25" s="22" t="s">
        <v>45</v>
      </c>
    </row>
    <row r="26" spans="1:5" ht="13" customHeight="1" x14ac:dyDescent="0.3">
      <c r="A26" s="23" t="s">
        <v>46</v>
      </c>
    </row>
    <row r="27" spans="1:5" ht="13" customHeight="1" x14ac:dyDescent="0.3">
      <c r="A27" s="24" t="s">
        <v>47</v>
      </c>
    </row>
  </sheetData>
  <sheetProtection algorithmName="SHA-512" hashValue="QWC8PG4BaR+XD8dJnOUew3LZ4mELLNdHFPWroPcCaumDe8438LnmFDwvay80I2KqXF1E8FSVORLM8ZcAbxlZGA==" saltValue="Gp5YQfg/DcM36k2U8F782Q==" spinCount="100000" sheet="1" objects="1" scenarios="1"/>
  <mergeCells count="3">
    <mergeCell ref="A1:E1"/>
    <mergeCell ref="A17:E17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rightToLeft="1" workbookViewId="0">
      <selection activeCell="D14" sqref="D14"/>
    </sheetView>
  </sheetViews>
  <sheetFormatPr defaultRowHeight="14" x14ac:dyDescent="0.3"/>
  <cols>
    <col min="1" max="1" width="28" style="9" customWidth="1"/>
    <col min="2" max="4" width="18" style="9" customWidth="1"/>
    <col min="5" max="5" width="22" style="9" customWidth="1"/>
    <col min="6" max="16384" width="8.6640625" style="9"/>
  </cols>
  <sheetData>
    <row r="1" spans="1:5" ht="28" customHeight="1" x14ac:dyDescent="0.3">
      <c r="A1" s="7" t="s">
        <v>87</v>
      </c>
      <c r="B1" s="8"/>
      <c r="C1" s="8"/>
      <c r="D1" s="8"/>
      <c r="E1" s="8"/>
    </row>
    <row r="2" spans="1:5" x14ac:dyDescent="0.3">
      <c r="A2" s="10" t="s">
        <v>88</v>
      </c>
      <c r="B2" s="8"/>
      <c r="C2" s="8"/>
      <c r="D2" s="8"/>
      <c r="E2" s="8"/>
    </row>
    <row r="4" spans="1:5" ht="22" customHeight="1" x14ac:dyDescent="0.3">
      <c r="A4" s="11" t="s">
        <v>89</v>
      </c>
      <c r="B4" s="12"/>
      <c r="C4" s="12"/>
      <c r="D4" s="12"/>
      <c r="E4" s="13"/>
    </row>
    <row r="5" spans="1:5" ht="20" customHeight="1" x14ac:dyDescent="0.3">
      <c r="A5" s="32" t="s">
        <v>90</v>
      </c>
      <c r="B5" s="32" t="s">
        <v>91</v>
      </c>
      <c r="C5" s="32" t="s">
        <v>92</v>
      </c>
      <c r="D5" s="32" t="s">
        <v>93</v>
      </c>
      <c r="E5" s="32" t="s">
        <v>67</v>
      </c>
    </row>
    <row r="6" spans="1:5" ht="17" customHeight="1" x14ac:dyDescent="0.3">
      <c r="A6" s="14" t="s">
        <v>94</v>
      </c>
      <c r="B6" s="16">
        <v>50000</v>
      </c>
      <c r="C6" s="49" t="s">
        <v>95</v>
      </c>
      <c r="D6" s="50">
        <f>B6*0.025</f>
        <v>1250</v>
      </c>
      <c r="E6" s="44" t="s">
        <v>96</v>
      </c>
    </row>
    <row r="7" spans="1:5" ht="17" customHeight="1" x14ac:dyDescent="0.3">
      <c r="A7" s="14" t="s">
        <v>97</v>
      </c>
      <c r="B7" s="16">
        <v>30000</v>
      </c>
      <c r="C7" s="49" t="s">
        <v>95</v>
      </c>
      <c r="D7" s="50">
        <f>B7*0.025</f>
        <v>750</v>
      </c>
      <c r="E7" s="44" t="s">
        <v>98</v>
      </c>
    </row>
    <row r="8" spans="1:5" ht="17" customHeight="1" x14ac:dyDescent="0.3">
      <c r="A8" s="14" t="s">
        <v>99</v>
      </c>
      <c r="B8" s="16">
        <v>100000</v>
      </c>
      <c r="C8" s="44" t="s">
        <v>100</v>
      </c>
      <c r="D8" s="50" t="s">
        <v>101</v>
      </c>
      <c r="E8" s="44" t="s">
        <v>102</v>
      </c>
    </row>
    <row r="9" spans="1:5" ht="17" customHeight="1" x14ac:dyDescent="0.3">
      <c r="A9" s="14" t="s">
        <v>103</v>
      </c>
      <c r="B9" s="16">
        <v>0</v>
      </c>
      <c r="C9" s="44" t="s">
        <v>104</v>
      </c>
      <c r="D9" s="50" t="s">
        <v>101</v>
      </c>
      <c r="E9" s="44" t="s">
        <v>105</v>
      </c>
    </row>
    <row r="10" spans="1:5" ht="17" customHeight="1" x14ac:dyDescent="0.3">
      <c r="A10" s="14" t="s">
        <v>106</v>
      </c>
      <c r="B10" s="16">
        <v>15000</v>
      </c>
      <c r="C10" s="49" t="s">
        <v>95</v>
      </c>
      <c r="D10" s="50">
        <f>B10*0.025</f>
        <v>375</v>
      </c>
      <c r="E10" s="44" t="s">
        <v>107</v>
      </c>
    </row>
    <row r="11" spans="1:5" ht="17" customHeight="1" x14ac:dyDescent="0.3">
      <c r="A11" s="14" t="s">
        <v>108</v>
      </c>
      <c r="B11" s="16">
        <v>20000</v>
      </c>
      <c r="C11" s="49" t="s">
        <v>95</v>
      </c>
      <c r="D11" s="50">
        <f>B11*0.025</f>
        <v>500</v>
      </c>
      <c r="E11" s="44" t="s">
        <v>109</v>
      </c>
    </row>
    <row r="12" spans="1:5" ht="17" customHeight="1" x14ac:dyDescent="0.3">
      <c r="A12" s="14" t="s">
        <v>110</v>
      </c>
      <c r="B12" s="16">
        <v>40000</v>
      </c>
      <c r="C12" s="49" t="s">
        <v>95</v>
      </c>
      <c r="D12" s="50">
        <f>B12*0.025</f>
        <v>1000</v>
      </c>
      <c r="E12" s="44" t="s">
        <v>111</v>
      </c>
    </row>
    <row r="13" spans="1:5" ht="17" customHeight="1" x14ac:dyDescent="0.3">
      <c r="A13" s="14" t="s">
        <v>112</v>
      </c>
      <c r="B13" s="16">
        <v>21250</v>
      </c>
      <c r="D13" s="27"/>
    </row>
    <row r="14" spans="1:5" ht="24" customHeight="1" x14ac:dyDescent="0.3">
      <c r="A14" s="18" t="s">
        <v>113</v>
      </c>
      <c r="B14" s="12"/>
      <c r="C14" s="13"/>
      <c r="D14" s="47">
        <f>IF(SUM(B6:B12)&lt;B13,0,SUMIF(C6:C12,"نعم",D6:D12))</f>
        <v>3875</v>
      </c>
    </row>
    <row r="15" spans="1:5" ht="24" customHeight="1" x14ac:dyDescent="0.3">
      <c r="A15" s="51" t="str">
        <f>IF(SUM(B6:B12)&lt;B13,"⚠️ لم تبلغ الأصول النصاب – لا زكاة واجبة حالياً","✅ تجب الزكاة – المبلغ: "&amp;TEXT(D14,"#,##0")&amp;" ريال")</f>
        <v>✅ تجب الزكاة – المبلغ: 3,875 ريال</v>
      </c>
      <c r="B15" s="30"/>
      <c r="C15" s="30"/>
      <c r="D15" s="30"/>
      <c r="E15" s="30"/>
    </row>
    <row r="17" spans="1:1" x14ac:dyDescent="0.3">
      <c r="A17" s="20" t="s">
        <v>43</v>
      </c>
    </row>
    <row r="18" spans="1:1" ht="13" customHeight="1" x14ac:dyDescent="0.3">
      <c r="A18" s="21" t="s">
        <v>44</v>
      </c>
    </row>
    <row r="19" spans="1:1" ht="13" customHeight="1" x14ac:dyDescent="0.3">
      <c r="A19" s="22" t="s">
        <v>45</v>
      </c>
    </row>
    <row r="20" spans="1:1" ht="13" customHeight="1" x14ac:dyDescent="0.3">
      <c r="A20" s="23" t="s">
        <v>46</v>
      </c>
    </row>
    <row r="21" spans="1:1" ht="13" customHeight="1" x14ac:dyDescent="0.3">
      <c r="A21" s="24" t="s">
        <v>47</v>
      </c>
    </row>
  </sheetData>
  <sheetProtection algorithmName="SHA-512" hashValue="S3rI5vxjktH3M6SE/C5E+8xvH5bJ3UKDJLi9660pfwDoq8ChFVwIV0QH7UQzYKz3CqiR+xDpK9rDkhRg+1+Fig==" saltValue="jVg9ka9yNv5Pcw5c/vOeUQ==" spinCount="100000" sheet="1" objects="1" scenarios="1"/>
  <mergeCells count="5">
    <mergeCell ref="A4:E4"/>
    <mergeCell ref="A2:E2"/>
    <mergeCell ref="A15:E15"/>
    <mergeCell ref="A14:C1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الغلاف</vt:lpstr>
      <vt:lpstr>حاسبة الاستقلال المالي</vt:lpstr>
      <vt:lpstr>محاكاة 30 سنة</vt:lpstr>
      <vt:lpstr>تخطيط مصاريف التقاعد</vt:lpstr>
      <vt:lpstr>زكاة المدخرات والاستثمارات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abdullahmonief@outlook.sa</cp:lastModifiedBy>
  <dcterms:created xsi:type="dcterms:W3CDTF">2026-06-09T11:18:56Z</dcterms:created>
  <dcterms:modified xsi:type="dcterms:W3CDTF">2026-06-11T17:48:08Z</dcterms:modified>
</cp:coreProperties>
</file>