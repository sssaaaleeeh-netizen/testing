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\Downloads\مجلد جديد\"/>
    </mc:Choice>
  </mc:AlternateContent>
  <xr:revisionPtr revIDLastSave="0" documentId="13_ncr:1_{C17BA8C8-1430-468E-804E-C1931B965B8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الغلاف" sheetId="1" r:id="rId1"/>
    <sheet name="تسعير التكلفة +" sheetId="2" r:id="rId2"/>
    <sheet name="تسعير القيمة" sheetId="3" r:id="rId3"/>
    <sheet name="تحليل الهوامش" sheetId="4" r:id="rId4"/>
    <sheet name="مقارنة أسعار المنافسين" sheetId="5" r:id="rId5"/>
    <sheet name="تسعير الحزم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" i="6" l="1"/>
  <c r="E9" i="6"/>
  <c r="E8" i="6"/>
  <c r="E7" i="6"/>
  <c r="E6" i="6"/>
  <c r="E5" i="6"/>
  <c r="E11" i="6" s="1"/>
  <c r="B14" i="6" s="1"/>
  <c r="A15" i="5"/>
  <c r="B12" i="5"/>
  <c r="B11" i="5"/>
  <c r="B10" i="5"/>
  <c r="B14" i="5" s="1"/>
  <c r="F13" i="4"/>
  <c r="H12" i="4"/>
  <c r="E12" i="4"/>
  <c r="D12" i="4"/>
  <c r="G12" i="4" s="1"/>
  <c r="H11" i="4"/>
  <c r="G11" i="4"/>
  <c r="E11" i="4"/>
  <c r="D11" i="4"/>
  <c r="H10" i="4"/>
  <c r="E10" i="4"/>
  <c r="D10" i="4"/>
  <c r="G10" i="4" s="1"/>
  <c r="H9" i="4"/>
  <c r="G9" i="4"/>
  <c r="E9" i="4"/>
  <c r="D9" i="4"/>
  <c r="H8" i="4"/>
  <c r="E8" i="4"/>
  <c r="D8" i="4"/>
  <c r="G8" i="4" s="1"/>
  <c r="H7" i="4"/>
  <c r="G7" i="4"/>
  <c r="E7" i="4"/>
  <c r="D7" i="4"/>
  <c r="H6" i="4"/>
  <c r="E6" i="4"/>
  <c r="D6" i="4"/>
  <c r="G6" i="4" s="1"/>
  <c r="H5" i="4"/>
  <c r="G5" i="4"/>
  <c r="E5" i="4"/>
  <c r="D5" i="4"/>
  <c r="H4" i="4"/>
  <c r="E4" i="4"/>
  <c r="D4" i="4"/>
  <c r="G4" i="4" s="1"/>
  <c r="H3" i="4"/>
  <c r="G3" i="4"/>
  <c r="E3" i="4"/>
  <c r="D3" i="4"/>
  <c r="D23" i="3"/>
  <c r="D22" i="3"/>
  <c r="D21" i="3"/>
  <c r="D24" i="3" s="1"/>
  <c r="D20" i="3"/>
  <c r="D22" i="2"/>
  <c r="D21" i="2"/>
  <c r="D23" i="2" s="1"/>
  <c r="B26" i="2" s="1"/>
  <c r="D20" i="2"/>
  <c r="D19" i="2"/>
  <c r="D18" i="2"/>
  <c r="B14" i="2"/>
  <c r="B17" i="6" l="1"/>
  <c r="B19" i="6" s="1"/>
  <c r="B16" i="6"/>
  <c r="B40" i="2"/>
  <c r="B38" i="2"/>
  <c r="B36" i="2"/>
  <c r="B34" i="2"/>
  <c r="B29" i="2"/>
  <c r="B28" i="2"/>
  <c r="B30" i="2" s="1"/>
  <c r="B41" i="2"/>
  <c r="B39" i="2"/>
  <c r="B37" i="2"/>
  <c r="B35" i="2"/>
  <c r="G13" i="4"/>
  <c r="B16" i="4" s="1"/>
  <c r="D39" i="2" l="1"/>
  <c r="C39" i="2"/>
  <c r="E39" i="2" s="1"/>
  <c r="D34" i="2"/>
  <c r="C34" i="2"/>
  <c r="E34" i="2" s="1"/>
  <c r="D38" i="2"/>
  <c r="C38" i="2"/>
  <c r="E38" i="2" s="1"/>
  <c r="B18" i="4"/>
  <c r="B19" i="4"/>
  <c r="D36" i="2"/>
  <c r="C36" i="2"/>
  <c r="E36" i="2" s="1"/>
  <c r="D35" i="2"/>
  <c r="C35" i="2"/>
  <c r="E35" i="2" s="1"/>
  <c r="D37" i="2"/>
  <c r="C37" i="2"/>
  <c r="E37" i="2" s="1"/>
  <c r="D40" i="2"/>
  <c r="C40" i="2"/>
  <c r="E40" i="2" s="1"/>
  <c r="D41" i="2"/>
  <c r="C41" i="2"/>
  <c r="E41" i="2" s="1"/>
</calcChain>
</file>

<file path=xl/sharedStrings.xml><?xml version="1.0" encoding="utf-8"?>
<sst xmlns="http://schemas.openxmlformats.org/spreadsheetml/2006/main" count="212" uniqueCount="171">
  <si>
    <t>أدوات تحليل وتسعير المنتجات والخدمات</t>
  </si>
  <si>
    <t>سعّر بثقة · احسب هامشك · قارن منافسيك · لا تبع بخسارة أبداً</t>
  </si>
  <si>
    <t>💰 تسعير التكلفة +</t>
  </si>
  <si>
    <t>🎯 تسعير القيمة</t>
  </si>
  <si>
    <t>📊 تحليل الهامش</t>
  </si>
  <si>
    <t>Cost-Plus Pricing</t>
  </si>
  <si>
    <t>Value-Based Pricing</t>
  </si>
  <si>
    <t>هامش الربح والمساهمة</t>
  </si>
  <si>
    <t>⚖️ مقارنة المنافسين</t>
  </si>
  <si>
    <t>📦 تسعير الحزم</t>
  </si>
  <si>
    <t>📈 تحليل الحساسية</t>
  </si>
  <si>
    <t>موقعك في السوق</t>
  </si>
  <si>
    <t>Bundle &amp; Tiered Pricing</t>
  </si>
  <si>
    <t>تأثير السعر على الربح</t>
  </si>
  <si>
    <t>حاسبة تسعير التكلفة + الربح (Cost-Plus)</t>
  </si>
  <si>
    <t>احسب السعر الأدنى الذي يجب ألا تبيع دونه – لكل منتج أو خدمة</t>
  </si>
  <si>
    <t>معلومات المنتج/الخدمة</t>
  </si>
  <si>
    <t>اسم المنتج أو الخدمة</t>
  </si>
  <si>
    <t>وحدة القياس</t>
  </si>
  <si>
    <t>قطعة</t>
  </si>
  <si>
    <t>أولاً: التكاليف المباشرة (لكل وحدة)</t>
  </si>
  <si>
    <t>بند التكلفة</t>
  </si>
  <si>
    <t>التكلفة (ريال)</t>
  </si>
  <si>
    <t>الملاحظات</t>
  </si>
  <si>
    <t>المواد الخام / مكونات المنتج</t>
  </si>
  <si>
    <t>تكلفة العمالة المباشرة</t>
  </si>
  <si>
    <t>تكاليف التغليف والشحن</t>
  </si>
  <si>
    <t>عمولات المنصات / الوسطاء</t>
  </si>
  <si>
    <t>تكاليف مباشرة أخرى</t>
  </si>
  <si>
    <t>إجمالي التكاليف المباشرة</t>
  </si>
  <si>
    <t>ثانياً: التكاليف غير المباشرة (حصة الوحدة)</t>
  </si>
  <si>
    <t>البند</t>
  </si>
  <si>
    <t>الشهري (ريال)</t>
  </si>
  <si>
    <t>الوحدات/شهر</t>
  </si>
  <si>
    <t>حصة الوحدة (ريال)</t>
  </si>
  <si>
    <t>ملاحظات</t>
  </si>
  <si>
    <t>الإيجار والمرافق</t>
  </si>
  <si>
    <t>الرواتب الإدارية</t>
  </si>
  <si>
    <t>التسويق والإعلان</t>
  </si>
  <si>
    <t>الاستهلاك والصيانة</t>
  </si>
  <si>
    <t>مصاريف عامة أخرى</t>
  </si>
  <si>
    <t>إجمالي التكاليف غير المباشرة/وحدة</t>
  </si>
  <si>
    <t>⭐ نتائج التسعير</t>
  </si>
  <si>
    <t>إجمالي تكلفة الوحدة (ريال)</t>
  </si>
  <si>
    <t>هامش الربح المستهدف %</t>
  </si>
  <si>
    <t>⭐ سعر البيع المقترح (ريال)</t>
  </si>
  <si>
    <t>الربح لكل وحدة (ريال)</t>
  </si>
  <si>
    <t>نقطة التعادل (وحدات/شهر)</t>
  </si>
  <si>
    <t>جدول حساسية السعر مقابل الهامش</t>
  </si>
  <si>
    <t>هامش الربح %</t>
  </si>
  <si>
    <t>سعر البيع (ريال)</t>
  </si>
  <si>
    <t>ربح الوحدة (ريال)</t>
  </si>
  <si>
    <t>إيراد 100 وحدة (ريال)</t>
  </si>
  <si>
    <t>ربح 100 وحدة (ريال)</t>
  </si>
  <si>
    <t>10%</t>
  </si>
  <si>
    <t>15%</t>
  </si>
  <si>
    <t>20%</t>
  </si>
  <si>
    <t>25%</t>
  </si>
  <si>
    <t>30%</t>
  </si>
  <si>
    <t>35%</t>
  </si>
  <si>
    <t>40%</t>
  </si>
  <si>
    <t>50%</t>
  </si>
  <si>
    <t>🔑 دليل الألوان:</t>
  </si>
  <si>
    <t xml:space="preserve">  خلايا الإدخال – أدخل بياناتك</t>
  </si>
  <si>
    <t xml:space="preserve">  خلايا محسوبة – لا تعدّل</t>
  </si>
  <si>
    <t xml:space="preserve">  نتائج رئيسية</t>
  </si>
  <si>
    <t xml:space="preserve">  تحذير / سلبي</t>
  </si>
  <si>
    <t>تسعير القيمة (Value-Based Pricing)</t>
  </si>
  <si>
    <t>سعّر بناءً على القيمة التي تقدمها للعميل – وليس فقط على تكلفتك</t>
  </si>
  <si>
    <t>تحليل قيمة الحل للعميل</t>
  </si>
  <si>
    <t>المشكلة التي تحلها</t>
  </si>
  <si>
    <t>أدخل هنا...</t>
  </si>
  <si>
    <t>التكلفة التي يتحملها العميل بدونك (ريال/شهر)</t>
  </si>
  <si>
    <t>الوقت الذي توفره للعميل (ساعات/شهر)</t>
  </si>
  <si>
    <t>قيمة الساعة للعميل (ريال)</t>
  </si>
  <si>
    <t>القيمة الإجمالية المقدمة شهرياً (ريال)</t>
  </si>
  <si>
    <t>نسبة الاستحواذ على القيمة %</t>
  </si>
  <si>
    <t>مصفوفة الأسعار (Tiered Pricing)</t>
  </si>
  <si>
    <t>الباقة</t>
  </si>
  <si>
    <t>السعر الشهري (ريال)</t>
  </si>
  <si>
    <t>الميزات الأساسية</t>
  </si>
  <si>
    <t>التوصية</t>
  </si>
  <si>
    <t>🥉 الأساسية</t>
  </si>
  <si>
    <t>الوصول للمنتج الأساسي + دعم بريد إلكتروني</t>
  </si>
  <si>
    <t>للأفراد</t>
  </si>
  <si>
    <t>🥈 الاحترافية</t>
  </si>
  <si>
    <t>كل ميزات الأساسية + أولوية الدعم + تقارير</t>
  </si>
  <si>
    <t>للشركات الصغيرة</t>
  </si>
  <si>
    <t>🥇 المميزة</t>
  </si>
  <si>
    <t>كل الميزات + مدير حساب مخصص + تكامل API</t>
  </si>
  <si>
    <t>للمؤسسات</t>
  </si>
  <si>
    <t>تحليل الاستعداد للدفع (WTP)</t>
  </si>
  <si>
    <t>شريحة العملاء</t>
  </si>
  <si>
    <t>أقصى سعر مقبول (ريال)</t>
  </si>
  <si>
    <t>حجم الشريحة %</t>
  </si>
  <si>
    <t>الإيراد المتوقع (ريال)</t>
  </si>
  <si>
    <t>الحساسية السعرية</t>
  </si>
  <si>
    <t>المؤسسات الكبيرة</t>
  </si>
  <si>
    <t>منخفضة</t>
  </si>
  <si>
    <t>الشركات المتوسطة</t>
  </si>
  <si>
    <t>متوسطة</t>
  </si>
  <si>
    <t>الشركات الصغيرة</t>
  </si>
  <si>
    <t>متوسطة-عالية</t>
  </si>
  <si>
    <t>الأفراد والمستقلون</t>
  </si>
  <si>
    <t>عالية جداً</t>
  </si>
  <si>
    <t>الإيراد الكلي المتوقع</t>
  </si>
  <si>
    <t>تحليل هوامش الربح لجميع المنتجات</t>
  </si>
  <si>
    <t>المنتج/الخدمة</t>
  </si>
  <si>
    <t>التكلفة المتغيرة (ريال)</t>
  </si>
  <si>
    <t>هامش المساهمة (ريال)</t>
  </si>
  <si>
    <t>هامش المساهمة %</t>
  </si>
  <si>
    <t>الكمية المباعة/شهر</t>
  </si>
  <si>
    <t>إجمالي المساهمة (ريال)</t>
  </si>
  <si>
    <t>تصنيف الربحية</t>
  </si>
  <si>
    <t>منتج 1</t>
  </si>
  <si>
    <t>منتج 2</t>
  </si>
  <si>
    <t>منتج 3</t>
  </si>
  <si>
    <t>منتج 4</t>
  </si>
  <si>
    <t>منتج 5</t>
  </si>
  <si>
    <t>منتج 6</t>
  </si>
  <si>
    <t>منتج 7</t>
  </si>
  <si>
    <t>منتج 8</t>
  </si>
  <si>
    <t>منتج 9</t>
  </si>
  <si>
    <t>منتج 10</t>
  </si>
  <si>
    <t>الإجمالي</t>
  </si>
  <si>
    <t>الربحية الإجمالية</t>
  </si>
  <si>
    <t>إجمالي هامش المساهمة (ريال)</t>
  </si>
  <si>
    <t>التكاليف الثابتة الشهرية (ريال)</t>
  </si>
  <si>
    <t>صافي الربح التشغيلي (ريال)</t>
  </si>
  <si>
    <t>هامش الربح الصافي %</t>
  </si>
  <si>
    <t>مصفوفة مقارنة الأسعار مع المنافسين</t>
  </si>
  <si>
    <t>المنافس</t>
  </si>
  <si>
    <t>سعره (ريال)</t>
  </si>
  <si>
    <t>جودته</t>
  </si>
  <si>
    <t>ميزاته الرئيسية</t>
  </si>
  <si>
    <t>نقطة ضعفه</t>
  </si>
  <si>
    <t>حصته السوقية %</t>
  </si>
  <si>
    <t>تهديده لك</t>
  </si>
  <si>
    <t>منافس 1</t>
  </si>
  <si>
    <t>متوسط</t>
  </si>
  <si>
    <t>منافس 2</t>
  </si>
  <si>
    <t>منافس 3</t>
  </si>
  <si>
    <t>منافس 4</t>
  </si>
  <si>
    <t>منافس 5</t>
  </si>
  <si>
    <t>تحديد موقعك التسعيري</t>
  </si>
  <si>
    <t>متوسط أسعار المنافسين (ريال)</t>
  </si>
  <si>
    <t>أدنى سعر منافس (ريال)</t>
  </si>
  <si>
    <t>أعلى سعر منافس (ريال)</t>
  </si>
  <si>
    <t>سعرك الحالي (ريال)</t>
  </si>
  <si>
    <t>موقعك مقارنة بالمتوسط %</t>
  </si>
  <si>
    <t>تسعير الحزم والباقات (Bundle Pricing)</t>
  </si>
  <si>
    <t>مكونات الحزمة</t>
  </si>
  <si>
    <t>السعر المنفرد (ريال)</t>
  </si>
  <si>
    <t>مُدرج في الحزمة؟</t>
  </si>
  <si>
    <t>الكمية</t>
  </si>
  <si>
    <t>القيمة الفردية (ريال)</t>
  </si>
  <si>
    <t>منتج/خدمة 1</t>
  </si>
  <si>
    <t>نعم</t>
  </si>
  <si>
    <t>منتج/خدمة 2</t>
  </si>
  <si>
    <t>منتج/خدمة 3</t>
  </si>
  <si>
    <t>منتج/خدمة 4</t>
  </si>
  <si>
    <t>منتج/خدمة 5</t>
  </si>
  <si>
    <t>منتج/خدمة 6</t>
  </si>
  <si>
    <t>القيمة الإجمالية بدون حزمة</t>
  </si>
  <si>
    <t>تحديد سعر الحزمة</t>
  </si>
  <si>
    <t>القيمة الكاملة للحزمة (ريال)</t>
  </si>
  <si>
    <t>الخصم المقدم على الحزمة %</t>
  </si>
  <si>
    <t>⭐ سعر الحزمة المقترح (ريال)</t>
  </si>
  <si>
    <t>المدخرات للعميل (ريال)</t>
  </si>
  <si>
    <t>هامش ربحك على الحزمة %</t>
  </si>
  <si>
    <t>الحد الأدنى لسعر الحزمة (بلا خسارة)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</si>
</sst>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sz val="11"/>
      <color rgb="FFC9A84C"/>
      <name val="Arial"/>
      <charset val="1"/>
    </font>
    <font>
      <b/>
      <sz val="10"/>
      <color rgb="FFFFFFFF"/>
      <name val="Arial"/>
      <charset val="1"/>
    </font>
    <font>
      <sz val="9"/>
      <color rgb="FF1F3864"/>
      <name val="Arial"/>
      <charset val="1"/>
    </font>
    <font>
      <b/>
      <sz val="13"/>
      <color rgb="FFFFFFFF"/>
      <name val="Arial"/>
      <charset val="1"/>
    </font>
    <font>
      <i/>
      <sz val="9"/>
      <color rgb="FF2E5FA3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9"/>
      <color rgb="FFFFFFFF"/>
      <name val="Arial"/>
      <charset val="1"/>
    </font>
    <font>
      <b/>
      <sz val="10"/>
      <color rgb="FF375623"/>
      <name val="Arial"/>
      <charset val="1"/>
    </font>
    <font>
      <b/>
      <sz val="10"/>
      <color rgb="FF1F3864"/>
      <name val="Arial"/>
      <charset val="1"/>
    </font>
    <font>
      <b/>
      <sz val="9"/>
      <color rgb="FF1F3864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375623"/>
      <name val="Arial"/>
      <charset val="1"/>
    </font>
    <font>
      <sz val="8"/>
      <color rgb="FF7B0000"/>
      <name val="Arial"/>
      <charset val="1"/>
    </font>
    <font>
      <sz val="9"/>
      <name val="Arial"/>
      <charset val="1"/>
    </font>
    <font>
      <b/>
      <sz val="11"/>
      <color rgb="FF1F3864"/>
      <name val="Arial"/>
      <charset val="1"/>
    </font>
    <font>
      <sz val="10"/>
      <color rgb="FF0000FF"/>
      <name val="Arial"/>
      <family val="2"/>
    </font>
    <font>
      <b/>
      <sz val="10"/>
      <color rgb="FF1F386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84C"/>
        <bgColor rgb="FFFF9900"/>
      </patternFill>
    </fill>
    <fill>
      <patternFill patternType="solid">
        <fgColor rgb="FF2E5FA3"/>
        <bgColor rgb="FF3366FF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7" fillId="4" borderId="2" xfId="0" applyFont="1" applyFill="1" applyBorder="1" applyAlignment="1" applyProtection="1">
      <alignment horizontal="center" vertical="center" wrapText="1"/>
      <protection locked="0"/>
    </xf>
    <xf numFmtId="0" fontId="8" fillId="6" borderId="2" xfId="0" applyFont="1" applyFill="1" applyBorder="1" applyAlignment="1" applyProtection="1">
      <alignment horizontal="left" vertical="center" wrapText="1"/>
      <protection locked="0"/>
    </xf>
    <xf numFmtId="49" fontId="9" fillId="5" borderId="2" xfId="0" applyNumberFormat="1" applyFont="1" applyFill="1" applyBorder="1" applyAlignment="1" applyProtection="1">
      <alignment horizontal="right" vertical="center"/>
      <protection locked="0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4" fontId="9" fillId="5" borderId="2" xfId="0" applyNumberFormat="1" applyFont="1" applyFill="1" applyBorder="1" applyAlignment="1" applyProtection="1">
      <alignment horizontal="right" vertical="center"/>
      <protection locked="0"/>
    </xf>
    <xf numFmtId="0" fontId="8" fillId="7" borderId="2" xfId="0" applyFont="1" applyFill="1" applyBorder="1" applyAlignment="1" applyProtection="1">
      <alignment horizontal="left" vertical="center" wrapText="1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3" fontId="9" fillId="5" borderId="2" xfId="0" applyNumberFormat="1" applyFont="1" applyFill="1" applyBorder="1" applyAlignment="1" applyProtection="1">
      <alignment horizontal="right" vertical="center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12" fillId="5" borderId="2" xfId="0" applyFont="1" applyFill="1" applyBorder="1" applyAlignment="1" applyProtection="1">
      <alignment horizontal="left" vertical="center" wrapText="1"/>
      <protection locked="0"/>
    </xf>
    <xf numFmtId="164" fontId="9" fillId="5" borderId="2" xfId="0" applyNumberFormat="1" applyFont="1" applyFill="1" applyBorder="1" applyAlignment="1" applyProtection="1">
      <alignment horizontal="right" vertical="center"/>
      <protection locked="0"/>
    </xf>
    <xf numFmtId="3" fontId="8" fillId="7" borderId="2" xfId="0" applyNumberFormat="1" applyFont="1" applyFill="1" applyBorder="1" applyAlignment="1" applyProtection="1">
      <alignment horizontal="right" vertical="center"/>
      <protection locked="0"/>
    </xf>
    <xf numFmtId="0" fontId="8" fillId="8" borderId="2" xfId="0" applyFont="1" applyFill="1" applyBorder="1" applyAlignment="1" applyProtection="1">
      <alignment horizontal="left" vertical="center" wrapText="1"/>
      <protection locked="0"/>
    </xf>
    <xf numFmtId="0" fontId="0" fillId="8" borderId="0" xfId="0" applyFill="1" applyProtection="1">
      <protection locked="0"/>
    </xf>
    <xf numFmtId="0" fontId="13" fillId="0" borderId="0" xfId="0" applyFont="1" applyProtection="1">
      <protection locked="0"/>
    </xf>
    <xf numFmtId="0" fontId="14" fillId="5" borderId="2" xfId="0" applyFont="1" applyFill="1" applyBorder="1" applyProtection="1">
      <protection locked="0"/>
    </xf>
    <xf numFmtId="0" fontId="15" fillId="7" borderId="2" xfId="0" applyFont="1" applyFill="1" applyBorder="1" applyProtection="1">
      <protection locked="0"/>
    </xf>
    <xf numFmtId="0" fontId="16" fillId="8" borderId="2" xfId="0" applyFont="1" applyFill="1" applyBorder="1" applyProtection="1">
      <protection locked="0"/>
    </xf>
    <xf numFmtId="0" fontId="17" fillId="9" borderId="2" xfId="0" applyFont="1" applyFill="1" applyBorder="1" applyProtection="1">
      <protection locked="0"/>
    </xf>
    <xf numFmtId="4" fontId="11" fillId="8" borderId="3" xfId="0" applyNumberFormat="1" applyFont="1" applyFill="1" applyBorder="1" applyAlignment="1" applyProtection="1">
      <alignment horizontal="right" vertical="center"/>
      <protection locked="0" hidden="1"/>
    </xf>
    <xf numFmtId="4" fontId="8" fillId="7" borderId="2" xfId="0" applyNumberFormat="1" applyFont="1" applyFill="1" applyBorder="1" applyAlignment="1" applyProtection="1">
      <alignment horizontal="right" vertical="center"/>
      <protection locked="0" hidden="1"/>
    </xf>
    <xf numFmtId="3" fontId="8" fillId="7" borderId="2" xfId="0" applyNumberFormat="1" applyFont="1" applyFill="1" applyBorder="1" applyAlignment="1" applyProtection="1">
      <alignment horizontal="right" vertical="center"/>
      <protection locked="0" hidden="1"/>
    </xf>
    <xf numFmtId="4" fontId="8" fillId="8" borderId="2" xfId="0" applyNumberFormat="1" applyFont="1" applyFill="1" applyBorder="1" applyAlignment="1" applyProtection="1">
      <alignment horizontal="right" vertical="center"/>
      <protection locked="0" hidden="1"/>
    </xf>
    <xf numFmtId="3" fontId="8" fillId="8" borderId="2" xfId="0" applyNumberFormat="1" applyFont="1" applyFill="1" applyBorder="1" applyAlignment="1" applyProtection="1">
      <alignment horizontal="right" vertical="center"/>
      <protection locked="0" hidden="1"/>
    </xf>
    <xf numFmtId="49" fontId="9" fillId="5" borderId="1" xfId="0" applyNumberFormat="1" applyFont="1" applyFill="1" applyBorder="1" applyAlignment="1" applyProtection="1">
      <alignment horizontal="right" vertical="center"/>
      <protection locked="0"/>
    </xf>
    <xf numFmtId="0" fontId="21" fillId="5" borderId="2" xfId="0" applyFont="1" applyFill="1" applyBorder="1" applyAlignment="1" applyProtection="1">
      <alignment horizontal="left" vertical="center" wrapText="1"/>
      <protection locked="0"/>
    </xf>
    <xf numFmtId="49" fontId="20" fillId="5" borderId="1" xfId="0" applyNumberFormat="1" applyFont="1" applyFill="1" applyBorder="1" applyAlignment="1" applyProtection="1">
      <alignment horizontal="right" vertical="center"/>
      <protection locked="0"/>
    </xf>
    <xf numFmtId="0" fontId="8" fillId="7" borderId="1" xfId="0" applyFont="1" applyFill="1" applyBorder="1" applyAlignment="1" applyProtection="1">
      <alignment horizontal="left" vertical="center" wrapText="1"/>
      <protection locked="0"/>
    </xf>
    <xf numFmtId="9" fontId="9" fillId="5" borderId="2" xfId="0" applyNumberFormat="1" applyFont="1" applyFill="1" applyBorder="1" applyAlignment="1" applyProtection="1">
      <alignment horizontal="right" vertical="center"/>
      <protection locked="0"/>
    </xf>
    <xf numFmtId="0" fontId="18" fillId="6" borderId="2" xfId="0" applyFont="1" applyFill="1" applyBorder="1" applyAlignment="1" applyProtection="1">
      <alignment horizontal="center" vertical="center" wrapText="1"/>
      <protection locked="0"/>
    </xf>
    <xf numFmtId="164" fontId="8" fillId="7" borderId="2" xfId="0" applyNumberFormat="1" applyFont="1" applyFill="1" applyBorder="1" applyAlignment="1" applyProtection="1">
      <alignment horizontal="right" vertical="center"/>
      <protection locked="0" hidden="1"/>
    </xf>
    <xf numFmtId="3" fontId="11" fillId="8" borderId="3" xfId="0" applyNumberFormat="1" applyFont="1" applyFill="1" applyBorder="1" applyAlignment="1" applyProtection="1">
      <alignment horizontal="right" vertical="center"/>
      <protection locked="0" hidden="1"/>
    </xf>
    <xf numFmtId="164" fontId="11" fillId="8" borderId="3" xfId="0" applyNumberFormat="1" applyFont="1" applyFill="1" applyBorder="1" applyAlignment="1" applyProtection="1">
      <alignment horizontal="right" vertical="center"/>
      <protection locked="0" hidden="1"/>
    </xf>
    <xf numFmtId="0" fontId="19" fillId="8" borderId="4" xfId="0" applyFont="1" applyFill="1" applyBorder="1" applyAlignment="1" applyProtection="1">
      <alignment horizontal="center" vertical="center" wrapText="1"/>
      <protection locked="0" hidden="1"/>
    </xf>
    <xf numFmtId="1" fontId="9" fillId="5" borderId="2" xfId="0" applyNumberFormat="1" applyFont="1" applyFill="1" applyBorder="1" applyAlignment="1" applyProtection="1">
      <alignment horizontal="right" vertical="center"/>
      <protection locked="0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DEEAF1"/>
      <rgbColor rgb="FF660066"/>
      <rgbColor rgb="FFFF8080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F81BD"/>
      <rgbColor rgb="FFC9A84C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ar-SA" sz="1800" b="1" strike="noStrike" spc="-1">
                <a:solidFill>
                  <a:srgbClr val="000000"/>
                </a:solidFill>
                <a:latin typeface="Calibri"/>
              </a:rPr>
              <a:t>هامش المساهمة لكل منتج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'تحليل الهوامش'!$D$2</c:f>
              <c:strCache>
                <c:ptCount val="1"/>
                <c:pt idx="0">
                  <c:v>هامش المساهمة (ريال)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ar-S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'تحليل الهوامش'!$A$3:$A$12</c:f>
              <c:strCache>
                <c:ptCount val="10"/>
                <c:pt idx="0">
                  <c:v>منتج 1</c:v>
                </c:pt>
                <c:pt idx="1">
                  <c:v>منتج 2</c:v>
                </c:pt>
                <c:pt idx="2">
                  <c:v>منتج 3</c:v>
                </c:pt>
                <c:pt idx="3">
                  <c:v>منتج 4</c:v>
                </c:pt>
                <c:pt idx="4">
                  <c:v>منتج 5</c:v>
                </c:pt>
                <c:pt idx="5">
                  <c:v>منتج 6</c:v>
                </c:pt>
                <c:pt idx="6">
                  <c:v>منتج 7</c:v>
                </c:pt>
                <c:pt idx="7">
                  <c:v>منتج 8</c:v>
                </c:pt>
                <c:pt idx="8">
                  <c:v>منتج 9</c:v>
                </c:pt>
                <c:pt idx="9">
                  <c:v>منتج 10</c:v>
                </c:pt>
              </c:strCache>
            </c:strRef>
          </c:cat>
          <c:val>
            <c:numRef>
              <c:f>'تحليل الهوامش'!$D$3:$D$12</c:f>
              <c:numCache>
                <c:formatCode>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8-4E0E-8AC9-0E66729AE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37036"/>
        <c:axId val="71079460"/>
      </c:barChart>
      <c:catAx>
        <c:axId val="291370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71079460"/>
        <c:crosses val="autoZero"/>
        <c:auto val="1"/>
        <c:lblAlgn val="ctr"/>
        <c:lblOffset val="100"/>
        <c:noMultiLvlLbl val="0"/>
      </c:catAx>
      <c:valAx>
        <c:axId val="710794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ar-SA"/>
          </a:p>
        </c:txPr>
        <c:crossAx val="291370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ar-SA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-10080</xdr:colOff>
      <xdr:row>21</xdr:row>
      <xdr:rowOff>0</xdr:rowOff>
    </xdr:from>
    <xdr:to>
      <xdr:col>6</xdr:col>
      <xdr:colOff>0</xdr:colOff>
      <xdr:row>44</xdr:row>
      <xdr:rowOff>52200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rightToLeft="1" tabSelected="1" zoomScaleNormal="100" workbookViewId="0">
      <selection sqref="A1:J5"/>
    </sheetView>
  </sheetViews>
  <sheetFormatPr defaultColWidth="8.6328125" defaultRowHeight="14.5" x14ac:dyDescent="0.35"/>
  <cols>
    <col min="1" max="10" width="8.453125" customWidth="1"/>
  </cols>
  <sheetData>
    <row r="1" spans="1:10" ht="25.5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customHeight="1" x14ac:dyDescent="0.3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6.5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6.5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6.5" customHeight="1" x14ac:dyDescent="0.3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6.5" customHeight="1" x14ac:dyDescent="0.3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</row>
    <row r="7" spans="1:10" ht="16.5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3" customHeight="1" x14ac:dyDescent="0.3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ht="18.75" customHeight="1" x14ac:dyDescent="0.35">
      <c r="B9" s="2" t="s">
        <v>2</v>
      </c>
      <c r="C9" s="2"/>
      <c r="D9" s="2"/>
      <c r="E9" s="2" t="s">
        <v>3</v>
      </c>
      <c r="F9" s="2"/>
      <c r="G9" s="2"/>
      <c r="H9" s="2" t="s">
        <v>4</v>
      </c>
      <c r="I9" s="2"/>
      <c r="J9" s="2"/>
    </row>
    <row r="10" spans="1:10" ht="15" customHeight="1" x14ac:dyDescent="0.35">
      <c r="B10" s="1" t="s">
        <v>5</v>
      </c>
      <c r="C10" s="1"/>
      <c r="D10" s="1"/>
      <c r="E10" s="1" t="s">
        <v>6</v>
      </c>
      <c r="F10" s="1"/>
      <c r="G10" s="1"/>
      <c r="H10" s="1" t="s">
        <v>7</v>
      </c>
      <c r="I10" s="1"/>
      <c r="J10" s="1"/>
    </row>
    <row r="11" spans="1:10" ht="16.5" customHeight="1" x14ac:dyDescent="0.35"/>
    <row r="12" spans="1:10" ht="16.5" customHeight="1" x14ac:dyDescent="0.35"/>
    <row r="13" spans="1:10" ht="18.75" customHeight="1" x14ac:dyDescent="0.35">
      <c r="B13" s="2" t="s">
        <v>8</v>
      </c>
      <c r="C13" s="2"/>
      <c r="D13" s="2"/>
      <c r="E13" s="2" t="s">
        <v>9</v>
      </c>
      <c r="F13" s="2"/>
      <c r="G13" s="2"/>
      <c r="H13" s="2" t="s">
        <v>10</v>
      </c>
      <c r="I13" s="2"/>
      <c r="J13" s="2"/>
    </row>
    <row r="14" spans="1:10" ht="15" customHeight="1" x14ac:dyDescent="0.35">
      <c r="B14" s="1" t="s">
        <v>11</v>
      </c>
      <c r="C14" s="1"/>
      <c r="D14" s="1"/>
      <c r="E14" s="1" t="s">
        <v>12</v>
      </c>
      <c r="F14" s="1"/>
      <c r="G14" s="1"/>
      <c r="H14" s="1" t="s">
        <v>13</v>
      </c>
      <c r="I14" s="1"/>
      <c r="J14" s="1"/>
    </row>
    <row r="15" spans="1:10" ht="16.5" customHeight="1" x14ac:dyDescent="0.35"/>
    <row r="16" spans="1:10" ht="16.5" customHeight="1" x14ac:dyDescent="0.35"/>
    <row r="17" ht="16.5" customHeight="1" x14ac:dyDescent="0.35"/>
    <row r="18" ht="16.5" customHeight="1" x14ac:dyDescent="0.35"/>
    <row r="19" ht="16.5" customHeight="1" x14ac:dyDescent="0.35"/>
    <row r="20" ht="16.5" customHeight="1" x14ac:dyDescent="0.35"/>
    <row r="21" ht="16.5" customHeight="1" x14ac:dyDescent="0.35"/>
    <row r="22" ht="16.5" customHeight="1" x14ac:dyDescent="0.35"/>
    <row r="23" ht="16.5" customHeight="1" x14ac:dyDescent="0.35"/>
    <row r="24" ht="16.5" customHeight="1" x14ac:dyDescent="0.35"/>
    <row r="25" ht="16.5" customHeight="1" x14ac:dyDescent="0.35"/>
    <row r="26" ht="16.5" customHeight="1" x14ac:dyDescent="0.35"/>
    <row r="27" ht="16.5" customHeight="1" x14ac:dyDescent="0.35"/>
    <row r="28" ht="16.5" customHeight="1" x14ac:dyDescent="0.35"/>
    <row r="29" ht="16.5" customHeight="1" x14ac:dyDescent="0.35"/>
    <row r="30" ht="16.5" customHeight="1" x14ac:dyDescent="0.35"/>
    <row r="31" ht="16.5" customHeight="1" x14ac:dyDescent="0.35"/>
    <row r="32" ht="16.5" customHeight="1" x14ac:dyDescent="0.35"/>
    <row r="33" ht="16.5" customHeight="1" x14ac:dyDescent="0.35"/>
    <row r="34" ht="16.5" customHeight="1" x14ac:dyDescent="0.35"/>
    <row r="35" ht="16.5" customHeight="1" x14ac:dyDescent="0.35"/>
    <row r="36" ht="16.5" customHeight="1" x14ac:dyDescent="0.35"/>
    <row r="37" ht="16.5" customHeight="1" x14ac:dyDescent="0.35"/>
    <row r="38" ht="16.5" customHeight="1" x14ac:dyDescent="0.35"/>
    <row r="39" ht="16.5" customHeight="1" x14ac:dyDescent="0.35"/>
    <row r="40" ht="16.5" customHeight="1" x14ac:dyDescent="0.35"/>
    <row r="41" ht="16.5" customHeight="1" x14ac:dyDescent="0.35"/>
    <row r="42" ht="16.5" customHeight="1" x14ac:dyDescent="0.35"/>
    <row r="43" ht="16.5" customHeight="1" x14ac:dyDescent="0.35"/>
    <row r="44" ht="16.5" customHeight="1" x14ac:dyDescent="0.35"/>
    <row r="45" ht="16.5" customHeight="1" x14ac:dyDescent="0.35"/>
    <row r="46" ht="16.5" customHeight="1" x14ac:dyDescent="0.35"/>
    <row r="47" ht="16.5" customHeight="1" x14ac:dyDescent="0.35"/>
    <row r="48" ht="16.5" customHeight="1" x14ac:dyDescent="0.35"/>
    <row r="49" ht="16.5" customHeight="1" x14ac:dyDescent="0.35"/>
  </sheetData>
  <mergeCells count="14">
    <mergeCell ref="B14:D14"/>
    <mergeCell ref="E14:G14"/>
    <mergeCell ref="H14:J14"/>
    <mergeCell ref="B10:D10"/>
    <mergeCell ref="E10:G10"/>
    <mergeCell ref="H10:J10"/>
    <mergeCell ref="B13:D13"/>
    <mergeCell ref="E13:G13"/>
    <mergeCell ref="H13:J13"/>
    <mergeCell ref="A1:J5"/>
    <mergeCell ref="A6:J7"/>
    <mergeCell ref="B9:D9"/>
    <mergeCell ref="E9:G9"/>
    <mergeCell ref="H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"/>
  <sheetViews>
    <sheetView rightToLeft="1" zoomScaleNormal="100" workbookViewId="0">
      <selection activeCell="H7" sqref="H7"/>
    </sheetView>
  </sheetViews>
  <sheetFormatPr defaultColWidth="8.6328125" defaultRowHeight="14.5" x14ac:dyDescent="0.35"/>
  <cols>
    <col min="1" max="1" width="30" style="7" customWidth="1"/>
    <col min="2" max="2" width="18" style="7" customWidth="1"/>
    <col min="3" max="4" width="16" style="7" customWidth="1"/>
    <col min="5" max="5" width="20" style="7" customWidth="1"/>
    <col min="6" max="6" width="10" style="7" customWidth="1"/>
    <col min="7" max="16384" width="8.6328125" style="7"/>
  </cols>
  <sheetData>
    <row r="1" spans="1:6" ht="27.75" customHeight="1" x14ac:dyDescent="0.35">
      <c r="A1" s="6" t="s">
        <v>14</v>
      </c>
      <c r="B1" s="6"/>
      <c r="C1" s="6"/>
      <c r="D1" s="6"/>
      <c r="E1" s="6"/>
      <c r="F1" s="6"/>
    </row>
    <row r="2" spans="1:6" ht="15" customHeight="1" x14ac:dyDescent="0.35">
      <c r="A2" s="8" t="s">
        <v>15</v>
      </c>
      <c r="B2" s="8"/>
      <c r="C2" s="8"/>
      <c r="D2" s="8"/>
      <c r="E2" s="8"/>
      <c r="F2" s="8"/>
    </row>
    <row r="4" spans="1:6" ht="21.75" customHeight="1" x14ac:dyDescent="0.35">
      <c r="A4" s="9" t="s">
        <v>16</v>
      </c>
      <c r="B4" s="9"/>
      <c r="C4" s="9"/>
      <c r="D4" s="9"/>
      <c r="E4" s="9"/>
      <c r="F4" s="9"/>
    </row>
    <row r="5" spans="1:6" ht="16.5" customHeight="1" x14ac:dyDescent="0.35">
      <c r="A5" s="10" t="s">
        <v>17</v>
      </c>
      <c r="B5" s="11"/>
      <c r="D5" s="10" t="s">
        <v>18</v>
      </c>
      <c r="E5" s="11" t="s">
        <v>19</v>
      </c>
    </row>
    <row r="7" spans="1:6" ht="21.75" customHeight="1" x14ac:dyDescent="0.35">
      <c r="A7" s="9" t="s">
        <v>20</v>
      </c>
      <c r="B7" s="9"/>
      <c r="C7" s="9"/>
      <c r="D7" s="9"/>
      <c r="E7" s="9"/>
      <c r="F7" s="9"/>
    </row>
    <row r="8" spans="1:6" ht="19.5" customHeight="1" x14ac:dyDescent="0.35">
      <c r="A8" s="12" t="s">
        <v>21</v>
      </c>
      <c r="B8" s="12" t="s">
        <v>22</v>
      </c>
      <c r="C8" s="13" t="s">
        <v>23</v>
      </c>
      <c r="D8" s="13"/>
      <c r="E8" s="13"/>
      <c r="F8" s="13"/>
    </row>
    <row r="9" spans="1:6" ht="16.5" customHeight="1" x14ac:dyDescent="0.35">
      <c r="A9" s="10" t="s">
        <v>24</v>
      </c>
      <c r="B9" s="14">
        <v>0</v>
      </c>
      <c r="C9" s="15"/>
      <c r="D9" s="15"/>
      <c r="E9" s="15"/>
      <c r="F9" s="15"/>
    </row>
    <row r="10" spans="1:6" ht="16.5" customHeight="1" x14ac:dyDescent="0.35">
      <c r="A10" s="10" t="s">
        <v>25</v>
      </c>
      <c r="B10" s="14">
        <v>0</v>
      </c>
      <c r="C10" s="15"/>
      <c r="D10" s="15"/>
      <c r="E10" s="15"/>
      <c r="F10" s="15"/>
    </row>
    <row r="11" spans="1:6" ht="16.5" customHeight="1" x14ac:dyDescent="0.35">
      <c r="A11" s="10" t="s">
        <v>26</v>
      </c>
      <c r="B11" s="14">
        <v>0</v>
      </c>
      <c r="C11" s="15"/>
      <c r="D11" s="15"/>
      <c r="E11" s="15"/>
      <c r="F11" s="15"/>
    </row>
    <row r="12" spans="1:6" ht="16.5" customHeight="1" x14ac:dyDescent="0.35">
      <c r="A12" s="10" t="s">
        <v>27</v>
      </c>
      <c r="B12" s="14">
        <v>0</v>
      </c>
      <c r="C12" s="15"/>
      <c r="D12" s="15"/>
      <c r="E12" s="15"/>
      <c r="F12" s="15"/>
    </row>
    <row r="13" spans="1:6" ht="16.5" customHeight="1" x14ac:dyDescent="0.35">
      <c r="A13" s="10" t="s">
        <v>28</v>
      </c>
      <c r="B13" s="14">
        <v>0</v>
      </c>
      <c r="C13" s="15"/>
      <c r="D13" s="15"/>
      <c r="E13" s="15"/>
      <c r="F13" s="15"/>
    </row>
    <row r="14" spans="1:6" ht="19.5" customHeight="1" x14ac:dyDescent="0.35">
      <c r="A14" s="16" t="s">
        <v>29</v>
      </c>
      <c r="B14" s="30">
        <f>SUM(B9:B13)</f>
        <v>0</v>
      </c>
    </row>
    <row r="16" spans="1:6" ht="21.75" customHeight="1" x14ac:dyDescent="0.35">
      <c r="A16" s="9" t="s">
        <v>30</v>
      </c>
      <c r="B16" s="9"/>
      <c r="C16" s="9"/>
      <c r="D16" s="9"/>
      <c r="E16" s="9"/>
      <c r="F16" s="9"/>
    </row>
    <row r="17" spans="1:6" ht="19.5" customHeight="1" x14ac:dyDescent="0.35">
      <c r="A17" s="12" t="s">
        <v>31</v>
      </c>
      <c r="B17" s="12" t="s">
        <v>32</v>
      </c>
      <c r="C17" s="12" t="s">
        <v>33</v>
      </c>
      <c r="D17" s="12" t="s">
        <v>34</v>
      </c>
      <c r="E17" s="13" t="s">
        <v>35</v>
      </c>
      <c r="F17" s="13"/>
    </row>
    <row r="18" spans="1:6" ht="16.5" customHeight="1" x14ac:dyDescent="0.35">
      <c r="A18" s="10" t="s">
        <v>36</v>
      </c>
      <c r="B18" s="17">
        <v>3000</v>
      </c>
      <c r="C18" s="17">
        <v>100</v>
      </c>
      <c r="D18" s="31">
        <f>IF(C18=0,0,B18/C18)</f>
        <v>30</v>
      </c>
      <c r="E18" s="15"/>
      <c r="F18" s="15"/>
    </row>
    <row r="19" spans="1:6" ht="16.5" customHeight="1" x14ac:dyDescent="0.35">
      <c r="A19" s="10" t="s">
        <v>37</v>
      </c>
      <c r="B19" s="17">
        <v>8000</v>
      </c>
      <c r="C19" s="17">
        <v>100</v>
      </c>
      <c r="D19" s="31">
        <f>IF(C19=0,0,B19/C19)</f>
        <v>80</v>
      </c>
      <c r="E19" s="15"/>
      <c r="F19" s="15"/>
    </row>
    <row r="20" spans="1:6" ht="16.5" customHeight="1" x14ac:dyDescent="0.35">
      <c r="A20" s="10" t="s">
        <v>38</v>
      </c>
      <c r="B20" s="17">
        <v>2000</v>
      </c>
      <c r="C20" s="17">
        <v>100</v>
      </c>
      <c r="D20" s="31">
        <f>IF(C20=0,0,B20/C20)</f>
        <v>20</v>
      </c>
      <c r="E20" s="15"/>
      <c r="F20" s="15"/>
    </row>
    <row r="21" spans="1:6" ht="16.5" customHeight="1" x14ac:dyDescent="0.35">
      <c r="A21" s="10" t="s">
        <v>39</v>
      </c>
      <c r="B21" s="17">
        <v>500</v>
      </c>
      <c r="C21" s="17">
        <v>100</v>
      </c>
      <c r="D21" s="31">
        <f>IF(C21=0,0,B21/C21)</f>
        <v>5</v>
      </c>
      <c r="E21" s="15"/>
      <c r="F21" s="15"/>
    </row>
    <row r="22" spans="1:6" ht="16.5" customHeight="1" x14ac:dyDescent="0.35">
      <c r="A22" s="10" t="s">
        <v>40</v>
      </c>
      <c r="B22" s="17">
        <v>500</v>
      </c>
      <c r="C22" s="17">
        <v>100</v>
      </c>
      <c r="D22" s="31">
        <f>IF(C22=0,0,B22/C22)</f>
        <v>5</v>
      </c>
      <c r="E22" s="15"/>
      <c r="F22" s="15"/>
    </row>
    <row r="23" spans="1:6" ht="19.5" customHeight="1" x14ac:dyDescent="0.35">
      <c r="A23" s="18" t="s">
        <v>41</v>
      </c>
      <c r="B23" s="18"/>
      <c r="C23" s="18"/>
      <c r="D23" s="30">
        <f>SUM(D18:D22)</f>
        <v>140</v>
      </c>
    </row>
    <row r="25" spans="1:6" ht="21.75" customHeight="1" x14ac:dyDescent="0.35">
      <c r="A25" s="19" t="s">
        <v>42</v>
      </c>
      <c r="B25" s="19"/>
      <c r="C25" s="19"/>
      <c r="D25" s="19"/>
      <c r="E25" s="19"/>
      <c r="F25" s="19"/>
    </row>
    <row r="26" spans="1:6" ht="18" customHeight="1" x14ac:dyDescent="0.35">
      <c r="A26" s="20" t="s">
        <v>43</v>
      </c>
      <c r="B26" s="31">
        <f>B14+D23</f>
        <v>140</v>
      </c>
    </row>
    <row r="27" spans="1:6" ht="18" customHeight="1" x14ac:dyDescent="0.35">
      <c r="A27" s="20" t="s">
        <v>44</v>
      </c>
      <c r="B27" s="21">
        <v>0.35</v>
      </c>
    </row>
    <row r="28" spans="1:6" ht="18" customHeight="1" x14ac:dyDescent="0.35">
      <c r="A28" s="20" t="s">
        <v>45</v>
      </c>
      <c r="B28" s="30">
        <f>B26/( 1-B27)</f>
        <v>215.38461538461539</v>
      </c>
    </row>
    <row r="29" spans="1:6" ht="18" customHeight="1" x14ac:dyDescent="0.35">
      <c r="A29" s="20" t="s">
        <v>46</v>
      </c>
      <c r="B29" s="30">
        <f>B27-B26</f>
        <v>-139.65</v>
      </c>
    </row>
    <row r="30" spans="1:6" ht="18" customHeight="1" x14ac:dyDescent="0.35">
      <c r="A30" s="20" t="s">
        <v>47</v>
      </c>
      <c r="B30" s="30">
        <f>IF(B27=0,0,SUM(B18:B22)/B28)</f>
        <v>65</v>
      </c>
    </row>
    <row r="32" spans="1:6" ht="21.75" customHeight="1" x14ac:dyDescent="0.35">
      <c r="A32" s="9" t="s">
        <v>48</v>
      </c>
      <c r="B32" s="9"/>
      <c r="C32" s="9"/>
      <c r="D32" s="9"/>
      <c r="E32" s="9"/>
      <c r="F32" s="9"/>
    </row>
    <row r="33" spans="1:6" ht="19.5" customHeight="1" x14ac:dyDescent="0.35">
      <c r="A33" s="12" t="s">
        <v>49</v>
      </c>
      <c r="B33" s="12" t="s">
        <v>50</v>
      </c>
      <c r="C33" s="12" t="s">
        <v>51</v>
      </c>
      <c r="D33" s="12" t="s">
        <v>52</v>
      </c>
      <c r="E33" s="13" t="s">
        <v>53</v>
      </c>
      <c r="F33" s="13"/>
    </row>
    <row r="34" spans="1:6" ht="15.75" customHeight="1" x14ac:dyDescent="0.35">
      <c r="A34" s="10" t="s">
        <v>54</v>
      </c>
      <c r="B34" s="31">
        <f>B26/(1-0.1)</f>
        <v>155.55555555555554</v>
      </c>
      <c r="C34" s="31">
        <f>B34-B26</f>
        <v>15.555555555555543</v>
      </c>
      <c r="D34" s="32">
        <f t="shared" ref="D34:E41" si="0">B34*100</f>
        <v>15555.555555555555</v>
      </c>
      <c r="E34" s="32">
        <f t="shared" si="0"/>
        <v>1555.5555555555543</v>
      </c>
    </row>
    <row r="35" spans="1:6" ht="15.75" customHeight="1" x14ac:dyDescent="0.35">
      <c r="A35" s="10" t="s">
        <v>55</v>
      </c>
      <c r="B35" s="31">
        <f>B26/(1-0.15)</f>
        <v>164.70588235294119</v>
      </c>
      <c r="C35" s="31">
        <f>B35-B26</f>
        <v>24.705882352941188</v>
      </c>
      <c r="D35" s="32">
        <f t="shared" si="0"/>
        <v>16470.588235294119</v>
      </c>
      <c r="E35" s="32">
        <f t="shared" si="0"/>
        <v>2470.5882352941189</v>
      </c>
    </row>
    <row r="36" spans="1:6" ht="15.75" customHeight="1" x14ac:dyDescent="0.35">
      <c r="A36" s="10" t="s">
        <v>56</v>
      </c>
      <c r="B36" s="31">
        <f>B26/(1-0.2)</f>
        <v>175</v>
      </c>
      <c r="C36" s="31">
        <f>B36-B26</f>
        <v>35</v>
      </c>
      <c r="D36" s="32">
        <f t="shared" si="0"/>
        <v>17500</v>
      </c>
      <c r="E36" s="32">
        <f t="shared" si="0"/>
        <v>3500</v>
      </c>
    </row>
    <row r="37" spans="1:6" ht="15.75" customHeight="1" x14ac:dyDescent="0.35">
      <c r="A37" s="10" t="s">
        <v>57</v>
      </c>
      <c r="B37" s="31">
        <f>B26/(1-0.25)</f>
        <v>186.66666666666666</v>
      </c>
      <c r="C37" s="31">
        <f>B37-B26</f>
        <v>46.666666666666657</v>
      </c>
      <c r="D37" s="32">
        <f t="shared" si="0"/>
        <v>18666.666666666664</v>
      </c>
      <c r="E37" s="32">
        <f t="shared" si="0"/>
        <v>4666.6666666666661</v>
      </c>
    </row>
    <row r="38" spans="1:6" ht="15.75" customHeight="1" x14ac:dyDescent="0.35">
      <c r="A38" s="10" t="s">
        <v>58</v>
      </c>
      <c r="B38" s="31">
        <f>B26/(1-0.3)</f>
        <v>200</v>
      </c>
      <c r="C38" s="31">
        <f>B38-B26</f>
        <v>60</v>
      </c>
      <c r="D38" s="32">
        <f t="shared" si="0"/>
        <v>20000</v>
      </c>
      <c r="E38" s="32">
        <f t="shared" si="0"/>
        <v>6000</v>
      </c>
    </row>
    <row r="39" spans="1:6" ht="15.75" customHeight="1" x14ac:dyDescent="0.35">
      <c r="A39" s="23" t="s">
        <v>59</v>
      </c>
      <c r="B39" s="33">
        <f>B26/(1-0.35)</f>
        <v>215.38461538461539</v>
      </c>
      <c r="C39" s="33">
        <f>B39-B26</f>
        <v>75.384615384615387</v>
      </c>
      <c r="D39" s="34">
        <f t="shared" si="0"/>
        <v>21538.461538461539</v>
      </c>
      <c r="E39" s="34">
        <f t="shared" si="0"/>
        <v>7538.461538461539</v>
      </c>
      <c r="F39" s="24"/>
    </row>
    <row r="40" spans="1:6" ht="15.75" customHeight="1" x14ac:dyDescent="0.35">
      <c r="A40" s="10" t="s">
        <v>60</v>
      </c>
      <c r="B40" s="31">
        <f>B26/(1-0.4)</f>
        <v>233.33333333333334</v>
      </c>
      <c r="C40" s="31">
        <f>B40-B26</f>
        <v>93.333333333333343</v>
      </c>
      <c r="D40" s="32">
        <f t="shared" si="0"/>
        <v>23333.333333333336</v>
      </c>
      <c r="E40" s="32">
        <f t="shared" si="0"/>
        <v>9333.3333333333339</v>
      </c>
    </row>
    <row r="41" spans="1:6" ht="15.75" customHeight="1" x14ac:dyDescent="0.35">
      <c r="A41" s="10" t="s">
        <v>61</v>
      </c>
      <c r="B41" s="31">
        <f>B26/(1-0.5)</f>
        <v>280</v>
      </c>
      <c r="C41" s="31">
        <f>B41-B26</f>
        <v>140</v>
      </c>
      <c r="D41" s="32">
        <f t="shared" si="0"/>
        <v>28000</v>
      </c>
      <c r="E41" s="32">
        <f t="shared" si="0"/>
        <v>14000</v>
      </c>
    </row>
    <row r="43" spans="1:6" x14ac:dyDescent="0.35">
      <c r="A43" s="25" t="s">
        <v>62</v>
      </c>
    </row>
    <row r="44" spans="1:6" ht="12.75" customHeight="1" x14ac:dyDescent="0.35">
      <c r="A44" s="26" t="s">
        <v>63</v>
      </c>
    </row>
    <row r="45" spans="1:6" ht="12.75" customHeight="1" x14ac:dyDescent="0.35">
      <c r="A45" s="27" t="s">
        <v>64</v>
      </c>
    </row>
    <row r="46" spans="1:6" ht="12.75" customHeight="1" x14ac:dyDescent="0.35">
      <c r="A46" s="28" t="s">
        <v>65</v>
      </c>
    </row>
    <row r="47" spans="1:6" ht="12.75" customHeight="1" x14ac:dyDescent="0.35">
      <c r="A47" s="29" t="s">
        <v>66</v>
      </c>
    </row>
  </sheetData>
  <sheetProtection algorithmName="SHA-512" hashValue="nv4Aaziu54oqWTVkXxeWxU2Gt4pZwCCdrKfRVz6n1rHTMisL6pvbhExGBVu5fMyGjMXppDJ+3waLhYtFLycSFA==" saltValue="Dx1Y6UW6bkfqCw0227ePVQ==" spinCount="100000" sheet="1" objects="1" scenarios="1"/>
  <mergeCells count="21">
    <mergeCell ref="E33:F33"/>
    <mergeCell ref="E21:F21"/>
    <mergeCell ref="E22:F22"/>
    <mergeCell ref="A23:C23"/>
    <mergeCell ref="A25:F25"/>
    <mergeCell ref="A32:F32"/>
    <mergeCell ref="A16:F16"/>
    <mergeCell ref="E17:F17"/>
    <mergeCell ref="E18:F18"/>
    <mergeCell ref="E19:F19"/>
    <mergeCell ref="E20:F20"/>
    <mergeCell ref="C9:F9"/>
    <mergeCell ref="C10:F10"/>
    <mergeCell ref="C11:F11"/>
    <mergeCell ref="C12:F12"/>
    <mergeCell ref="C13:F13"/>
    <mergeCell ref="A1:F1"/>
    <mergeCell ref="A2:F2"/>
    <mergeCell ref="A4:F4"/>
    <mergeCell ref="A7:F7"/>
    <mergeCell ref="C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rightToLeft="1" topLeftCell="A15" zoomScaleNormal="100" workbookViewId="0">
      <selection activeCell="C31" sqref="C31"/>
    </sheetView>
  </sheetViews>
  <sheetFormatPr defaultColWidth="8.6328125" defaultRowHeight="14.5" x14ac:dyDescent="0.35"/>
  <cols>
    <col min="1" max="1" width="26" style="7" customWidth="1"/>
    <col min="2" max="2" width="18" style="7" customWidth="1"/>
    <col min="3" max="3" width="14" style="7" customWidth="1"/>
    <col min="4" max="5" width="18" style="7" customWidth="1"/>
    <col min="6" max="6" width="14" style="7" customWidth="1"/>
    <col min="7" max="16384" width="8.6328125" style="7"/>
  </cols>
  <sheetData>
    <row r="1" spans="1:6" ht="27.75" customHeight="1" x14ac:dyDescent="0.35">
      <c r="A1" s="6" t="s">
        <v>67</v>
      </c>
      <c r="B1" s="6"/>
      <c r="C1" s="6"/>
      <c r="D1" s="6"/>
      <c r="E1" s="6"/>
      <c r="F1" s="6"/>
    </row>
    <row r="2" spans="1:6" ht="15" customHeight="1" x14ac:dyDescent="0.35">
      <c r="A2" s="8" t="s">
        <v>68</v>
      </c>
      <c r="B2" s="8"/>
      <c r="C2" s="8"/>
      <c r="D2" s="8"/>
      <c r="E2" s="8"/>
      <c r="F2" s="8"/>
    </row>
    <row r="4" spans="1:6" ht="21.75" customHeight="1" x14ac:dyDescent="0.35">
      <c r="A4" s="9" t="s">
        <v>69</v>
      </c>
      <c r="B4" s="9"/>
      <c r="C4" s="9"/>
      <c r="D4" s="9"/>
      <c r="E4" s="9"/>
      <c r="F4" s="9"/>
    </row>
    <row r="5" spans="1:6" ht="18" customHeight="1" x14ac:dyDescent="0.35">
      <c r="A5" s="20" t="s">
        <v>70</v>
      </c>
      <c r="B5" s="35" t="s">
        <v>71</v>
      </c>
      <c r="C5" s="35"/>
      <c r="D5" s="35"/>
      <c r="E5" s="35"/>
      <c r="F5" s="35"/>
    </row>
    <row r="6" spans="1:6" ht="18" customHeight="1" x14ac:dyDescent="0.35">
      <c r="A6" s="20" t="s">
        <v>72</v>
      </c>
      <c r="B6" s="35" t="s">
        <v>71</v>
      </c>
      <c r="C6" s="35"/>
      <c r="D6" s="35"/>
      <c r="E6" s="35"/>
      <c r="F6" s="35"/>
    </row>
    <row r="7" spans="1:6" ht="18" customHeight="1" x14ac:dyDescent="0.35">
      <c r="A7" s="20" t="s">
        <v>73</v>
      </c>
      <c r="B7" s="35" t="s">
        <v>71</v>
      </c>
      <c r="C7" s="35"/>
      <c r="D7" s="35"/>
      <c r="E7" s="35"/>
      <c r="F7" s="35"/>
    </row>
    <row r="8" spans="1:6" ht="18" customHeight="1" x14ac:dyDescent="0.35">
      <c r="A8" s="20" t="s">
        <v>74</v>
      </c>
      <c r="B8" s="35" t="s">
        <v>71</v>
      </c>
      <c r="C8" s="35"/>
      <c r="D8" s="35"/>
      <c r="E8" s="35"/>
      <c r="F8" s="35"/>
    </row>
    <row r="9" spans="1:6" ht="18" customHeight="1" x14ac:dyDescent="0.35">
      <c r="A9" s="20" t="s">
        <v>75</v>
      </c>
      <c r="B9" s="35" t="s">
        <v>71</v>
      </c>
      <c r="C9" s="35"/>
      <c r="D9" s="35"/>
      <c r="E9" s="35"/>
      <c r="F9" s="35"/>
    </row>
    <row r="10" spans="1:6" ht="18" customHeight="1" x14ac:dyDescent="0.35">
      <c r="A10" s="36" t="s">
        <v>76</v>
      </c>
      <c r="B10" s="37" t="s">
        <v>71</v>
      </c>
      <c r="C10" s="35"/>
      <c r="D10" s="35"/>
      <c r="E10" s="35"/>
      <c r="F10" s="35"/>
    </row>
    <row r="12" spans="1:6" ht="21.75" customHeight="1" x14ac:dyDescent="0.35">
      <c r="A12" s="9" t="s">
        <v>77</v>
      </c>
      <c r="B12" s="9"/>
      <c r="C12" s="9"/>
      <c r="D12" s="9"/>
      <c r="E12" s="9"/>
      <c r="F12" s="9"/>
    </row>
    <row r="13" spans="1:6" ht="19.5" customHeight="1" x14ac:dyDescent="0.35">
      <c r="A13" s="12" t="s">
        <v>78</v>
      </c>
      <c r="B13" s="12" t="s">
        <v>79</v>
      </c>
      <c r="C13" s="13" t="s">
        <v>80</v>
      </c>
      <c r="D13" s="13"/>
      <c r="F13" s="12" t="s">
        <v>81</v>
      </c>
    </row>
    <row r="14" spans="1:6" ht="18" customHeight="1" x14ac:dyDescent="0.35">
      <c r="A14" s="20" t="s">
        <v>82</v>
      </c>
      <c r="B14" s="17">
        <v>99</v>
      </c>
      <c r="C14" s="38" t="s">
        <v>83</v>
      </c>
      <c r="D14" s="38"/>
      <c r="E14" s="38"/>
      <c r="F14" s="10" t="s">
        <v>84</v>
      </c>
    </row>
    <row r="15" spans="1:6" ht="18" customHeight="1" x14ac:dyDescent="0.35">
      <c r="A15" s="20" t="s">
        <v>85</v>
      </c>
      <c r="B15" s="17">
        <v>249</v>
      </c>
      <c r="C15" s="38" t="s">
        <v>86</v>
      </c>
      <c r="D15" s="38"/>
      <c r="E15" s="38"/>
      <c r="F15" s="10" t="s">
        <v>87</v>
      </c>
    </row>
    <row r="16" spans="1:6" ht="18" customHeight="1" x14ac:dyDescent="0.35">
      <c r="A16" s="20" t="s">
        <v>88</v>
      </c>
      <c r="B16" s="17">
        <v>599</v>
      </c>
      <c r="C16" s="38" t="s">
        <v>89</v>
      </c>
      <c r="D16" s="38"/>
      <c r="E16" s="38"/>
      <c r="F16" s="10" t="s">
        <v>90</v>
      </c>
    </row>
    <row r="18" spans="1:6" ht="21.75" customHeight="1" x14ac:dyDescent="0.35">
      <c r="A18" s="9" t="s">
        <v>91</v>
      </c>
      <c r="B18" s="9"/>
      <c r="C18" s="9"/>
      <c r="D18" s="9"/>
      <c r="E18" s="9"/>
      <c r="F18" s="9"/>
    </row>
    <row r="19" spans="1:6" ht="19.5" customHeight="1" x14ac:dyDescent="0.35">
      <c r="A19" s="12" t="s">
        <v>92</v>
      </c>
      <c r="B19" s="12" t="s">
        <v>93</v>
      </c>
      <c r="C19" s="12" t="s">
        <v>94</v>
      </c>
      <c r="D19" s="12" t="s">
        <v>95</v>
      </c>
      <c r="E19" s="13" t="s">
        <v>96</v>
      </c>
      <c r="F19" s="13"/>
    </row>
    <row r="20" spans="1:6" ht="16.5" customHeight="1" x14ac:dyDescent="0.35">
      <c r="A20" s="10" t="s">
        <v>97</v>
      </c>
      <c r="B20" s="17">
        <v>1500</v>
      </c>
      <c r="C20" s="39">
        <v>0.1</v>
      </c>
      <c r="D20" s="32">
        <f>B20*C20*1000</f>
        <v>150000</v>
      </c>
      <c r="E20" s="15" t="s">
        <v>98</v>
      </c>
      <c r="F20" s="15"/>
    </row>
    <row r="21" spans="1:6" ht="16.5" customHeight="1" x14ac:dyDescent="0.35">
      <c r="A21" s="10" t="s">
        <v>99</v>
      </c>
      <c r="B21" s="17">
        <v>600</v>
      </c>
      <c r="C21" s="39">
        <v>0.25</v>
      </c>
      <c r="D21" s="32">
        <f>B21*C21*1000</f>
        <v>150000</v>
      </c>
      <c r="E21" s="15" t="s">
        <v>100</v>
      </c>
      <c r="F21" s="15"/>
    </row>
    <row r="22" spans="1:6" ht="16.5" customHeight="1" x14ac:dyDescent="0.35">
      <c r="A22" s="10" t="s">
        <v>101</v>
      </c>
      <c r="B22" s="17">
        <v>250</v>
      </c>
      <c r="C22" s="39">
        <v>0.4</v>
      </c>
      <c r="D22" s="32">
        <f>B22*C22*1000</f>
        <v>100000</v>
      </c>
      <c r="E22" s="15" t="s">
        <v>102</v>
      </c>
      <c r="F22" s="15"/>
    </row>
    <row r="23" spans="1:6" ht="16.5" customHeight="1" x14ac:dyDescent="0.35">
      <c r="A23" s="10" t="s">
        <v>103</v>
      </c>
      <c r="B23" s="17">
        <v>100</v>
      </c>
      <c r="C23" s="39">
        <v>0.25</v>
      </c>
      <c r="D23" s="32">
        <f>B23*C23*1000</f>
        <v>25000</v>
      </c>
      <c r="E23" s="15" t="s">
        <v>104</v>
      </c>
      <c r="F23" s="15"/>
    </row>
    <row r="24" spans="1:6" ht="19.5" customHeight="1" x14ac:dyDescent="0.35">
      <c r="A24" s="18" t="s">
        <v>105</v>
      </c>
      <c r="B24" s="18"/>
      <c r="C24" s="18"/>
      <c r="D24" s="30">
        <f>SUM(D20:D23)</f>
        <v>425000</v>
      </c>
    </row>
    <row r="26" spans="1:6" x14ac:dyDescent="0.35">
      <c r="A26" s="25" t="s">
        <v>62</v>
      </c>
    </row>
    <row r="27" spans="1:6" ht="12.75" customHeight="1" x14ac:dyDescent="0.35">
      <c r="A27" s="26" t="s">
        <v>63</v>
      </c>
    </row>
    <row r="28" spans="1:6" ht="12.75" customHeight="1" x14ac:dyDescent="0.35">
      <c r="A28" s="27" t="s">
        <v>64</v>
      </c>
    </row>
    <row r="29" spans="1:6" ht="12.75" customHeight="1" x14ac:dyDescent="0.35">
      <c r="A29" s="28" t="s">
        <v>65</v>
      </c>
    </row>
    <row r="30" spans="1:6" ht="12.75" customHeight="1" x14ac:dyDescent="0.35">
      <c r="A30" s="29" t="s">
        <v>66</v>
      </c>
    </row>
  </sheetData>
  <sheetProtection algorithmName="SHA-512" hashValue="QP6i67s6IUPEN+KzUEgzPOua5NEMo+RHrBruU1RRS6QiEOvofOGXFbvm5xItIULriAPujhMzh/3utFn4nPaPvQ==" saltValue="jE2AOlZvKaA42FsPRn3sqg==" spinCount="100000" sheet="1" objects="1" scenarios="1"/>
  <mergeCells count="21">
    <mergeCell ref="A24:C24"/>
    <mergeCell ref="E19:F19"/>
    <mergeCell ref="E20:F20"/>
    <mergeCell ref="E21:F21"/>
    <mergeCell ref="E22:F22"/>
    <mergeCell ref="E23:F23"/>
    <mergeCell ref="C13:D13"/>
    <mergeCell ref="C14:E14"/>
    <mergeCell ref="C15:E15"/>
    <mergeCell ref="C16:E16"/>
    <mergeCell ref="A18:F18"/>
    <mergeCell ref="B7:F7"/>
    <mergeCell ref="B8:F8"/>
    <mergeCell ref="B9:F9"/>
    <mergeCell ref="B10:F10"/>
    <mergeCell ref="A12:F12"/>
    <mergeCell ref="A1:F1"/>
    <mergeCell ref="A2:F2"/>
    <mergeCell ref="A4:F4"/>
    <mergeCell ref="B5:F5"/>
    <mergeCell ref="B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rightToLeft="1" topLeftCell="A30" zoomScaleNormal="100" workbookViewId="0">
      <selection activeCell="B18" sqref="B18:B19"/>
    </sheetView>
  </sheetViews>
  <sheetFormatPr defaultColWidth="8.6328125" defaultRowHeight="14.5" x14ac:dyDescent="0.35"/>
  <cols>
    <col min="1" max="1" width="22" style="7" customWidth="1"/>
    <col min="2" max="3" width="16" style="7" customWidth="1"/>
    <col min="4" max="4" width="18" style="7" customWidth="1"/>
    <col min="5" max="5" width="16" style="7" customWidth="1"/>
    <col min="6" max="6" width="14" style="7" customWidth="1"/>
    <col min="7" max="7" width="18" style="7" customWidth="1"/>
    <col min="8" max="8" width="14" style="7" customWidth="1"/>
    <col min="9" max="16384" width="8.6328125" style="7"/>
  </cols>
  <sheetData>
    <row r="1" spans="1:8" ht="27.75" customHeight="1" x14ac:dyDescent="0.35">
      <c r="A1" s="6" t="s">
        <v>106</v>
      </c>
      <c r="B1" s="6"/>
      <c r="C1" s="6"/>
      <c r="D1" s="6"/>
      <c r="E1" s="6"/>
      <c r="F1" s="6"/>
      <c r="G1" s="6"/>
      <c r="H1" s="6"/>
    </row>
    <row r="2" spans="1:8" ht="21.75" customHeight="1" x14ac:dyDescent="0.35">
      <c r="A2" s="12" t="s">
        <v>107</v>
      </c>
      <c r="B2" s="12" t="s">
        <v>50</v>
      </c>
      <c r="C2" s="12" t="s">
        <v>108</v>
      </c>
      <c r="D2" s="12" t="s">
        <v>109</v>
      </c>
      <c r="E2" s="12" t="s">
        <v>110</v>
      </c>
      <c r="F2" s="12" t="s">
        <v>111</v>
      </c>
      <c r="G2" s="12" t="s">
        <v>112</v>
      </c>
      <c r="H2" s="12" t="s">
        <v>113</v>
      </c>
    </row>
    <row r="3" spans="1:8" ht="15.75" customHeight="1" x14ac:dyDescent="0.35">
      <c r="A3" s="11" t="s">
        <v>114</v>
      </c>
      <c r="B3" s="14">
        <v>0</v>
      </c>
      <c r="C3" s="14">
        <v>0</v>
      </c>
      <c r="D3" s="31">
        <f t="shared" ref="D3:D12" si="0">B3-C3</f>
        <v>0</v>
      </c>
      <c r="E3" s="41">
        <f t="shared" ref="E3:E12" si="1">IF(B3=0,0,D3/B3)</f>
        <v>0</v>
      </c>
      <c r="F3" s="17">
        <v>0</v>
      </c>
      <c r="G3" s="22">
        <f t="shared" ref="G3:G12" si="2">D3*F3</f>
        <v>0</v>
      </c>
      <c r="H3" s="40" t="str">
        <f t="shared" ref="H3:H12" si="3">IF(B3=0,"",IF(E3&gt;=0.5,"⭐ ممتاز",IF(E3&gt;=0.3,"✅ جيد",IF(E3&gt;=0.15,"⚠️ مقبول","❌ منخفض"))))</f>
        <v/>
      </c>
    </row>
    <row r="4" spans="1:8" ht="15.75" customHeight="1" x14ac:dyDescent="0.35">
      <c r="A4" s="11" t="s">
        <v>115</v>
      </c>
      <c r="B4" s="14">
        <v>0</v>
      </c>
      <c r="C4" s="14">
        <v>0</v>
      </c>
      <c r="D4" s="31">
        <f t="shared" si="0"/>
        <v>0</v>
      </c>
      <c r="E4" s="41">
        <f t="shared" si="1"/>
        <v>0</v>
      </c>
      <c r="F4" s="17">
        <v>0</v>
      </c>
      <c r="G4" s="22">
        <f t="shared" si="2"/>
        <v>0</v>
      </c>
      <c r="H4" s="40" t="str">
        <f t="shared" si="3"/>
        <v/>
      </c>
    </row>
    <row r="5" spans="1:8" ht="15.75" customHeight="1" x14ac:dyDescent="0.35">
      <c r="A5" s="11" t="s">
        <v>116</v>
      </c>
      <c r="B5" s="14">
        <v>0</v>
      </c>
      <c r="C5" s="14">
        <v>0</v>
      </c>
      <c r="D5" s="31">
        <f t="shared" si="0"/>
        <v>0</v>
      </c>
      <c r="E5" s="41">
        <f t="shared" si="1"/>
        <v>0</v>
      </c>
      <c r="F5" s="17">
        <v>0</v>
      </c>
      <c r="G5" s="22">
        <f t="shared" si="2"/>
        <v>0</v>
      </c>
      <c r="H5" s="40" t="str">
        <f t="shared" si="3"/>
        <v/>
      </c>
    </row>
    <row r="6" spans="1:8" ht="15.75" customHeight="1" x14ac:dyDescent="0.35">
      <c r="A6" s="11" t="s">
        <v>117</v>
      </c>
      <c r="B6" s="14">
        <v>0</v>
      </c>
      <c r="C6" s="14">
        <v>0</v>
      </c>
      <c r="D6" s="31">
        <f t="shared" si="0"/>
        <v>0</v>
      </c>
      <c r="E6" s="41">
        <f t="shared" si="1"/>
        <v>0</v>
      </c>
      <c r="F6" s="17">
        <v>0</v>
      </c>
      <c r="G6" s="22">
        <f t="shared" si="2"/>
        <v>0</v>
      </c>
      <c r="H6" s="40" t="str">
        <f t="shared" si="3"/>
        <v/>
      </c>
    </row>
    <row r="7" spans="1:8" ht="15.75" customHeight="1" x14ac:dyDescent="0.35">
      <c r="A7" s="11" t="s">
        <v>118</v>
      </c>
      <c r="B7" s="14">
        <v>0</v>
      </c>
      <c r="C7" s="14">
        <v>0</v>
      </c>
      <c r="D7" s="31">
        <f t="shared" si="0"/>
        <v>0</v>
      </c>
      <c r="E7" s="41">
        <f t="shared" si="1"/>
        <v>0</v>
      </c>
      <c r="F7" s="17">
        <v>0</v>
      </c>
      <c r="G7" s="22">
        <f t="shared" si="2"/>
        <v>0</v>
      </c>
      <c r="H7" s="40" t="str">
        <f t="shared" si="3"/>
        <v/>
      </c>
    </row>
    <row r="8" spans="1:8" ht="15.75" customHeight="1" x14ac:dyDescent="0.35">
      <c r="A8" s="11" t="s">
        <v>119</v>
      </c>
      <c r="B8" s="14">
        <v>0</v>
      </c>
      <c r="C8" s="14">
        <v>0</v>
      </c>
      <c r="D8" s="31">
        <f t="shared" si="0"/>
        <v>0</v>
      </c>
      <c r="E8" s="41">
        <f t="shared" si="1"/>
        <v>0</v>
      </c>
      <c r="F8" s="17">
        <v>0</v>
      </c>
      <c r="G8" s="22">
        <f t="shared" si="2"/>
        <v>0</v>
      </c>
      <c r="H8" s="40" t="str">
        <f t="shared" si="3"/>
        <v/>
      </c>
    </row>
    <row r="9" spans="1:8" ht="15.75" customHeight="1" x14ac:dyDescent="0.35">
      <c r="A9" s="11" t="s">
        <v>120</v>
      </c>
      <c r="B9" s="14">
        <v>0</v>
      </c>
      <c r="C9" s="14">
        <v>0</v>
      </c>
      <c r="D9" s="31">
        <f t="shared" si="0"/>
        <v>0</v>
      </c>
      <c r="E9" s="41">
        <f t="shared" si="1"/>
        <v>0</v>
      </c>
      <c r="F9" s="17">
        <v>0</v>
      </c>
      <c r="G9" s="22">
        <f t="shared" si="2"/>
        <v>0</v>
      </c>
      <c r="H9" s="40" t="str">
        <f t="shared" si="3"/>
        <v/>
      </c>
    </row>
    <row r="10" spans="1:8" ht="15.75" customHeight="1" x14ac:dyDescent="0.35">
      <c r="A10" s="11" t="s">
        <v>121</v>
      </c>
      <c r="B10" s="14">
        <v>0</v>
      </c>
      <c r="C10" s="14">
        <v>0</v>
      </c>
      <c r="D10" s="31">
        <f t="shared" si="0"/>
        <v>0</v>
      </c>
      <c r="E10" s="41">
        <f t="shared" si="1"/>
        <v>0</v>
      </c>
      <c r="F10" s="17">
        <v>0</v>
      </c>
      <c r="G10" s="22">
        <f t="shared" si="2"/>
        <v>0</v>
      </c>
      <c r="H10" s="40" t="str">
        <f t="shared" si="3"/>
        <v/>
      </c>
    </row>
    <row r="11" spans="1:8" ht="15.75" customHeight="1" x14ac:dyDescent="0.35">
      <c r="A11" s="11" t="s">
        <v>122</v>
      </c>
      <c r="B11" s="14">
        <v>0</v>
      </c>
      <c r="C11" s="14">
        <v>0</v>
      </c>
      <c r="D11" s="31">
        <f t="shared" si="0"/>
        <v>0</v>
      </c>
      <c r="E11" s="41">
        <f t="shared" si="1"/>
        <v>0</v>
      </c>
      <c r="F11" s="17">
        <v>0</v>
      </c>
      <c r="G11" s="22">
        <f t="shared" si="2"/>
        <v>0</v>
      </c>
      <c r="H11" s="40" t="str">
        <f t="shared" si="3"/>
        <v/>
      </c>
    </row>
    <row r="12" spans="1:8" ht="15.75" customHeight="1" x14ac:dyDescent="0.35">
      <c r="A12" s="11" t="s">
        <v>123</v>
      </c>
      <c r="B12" s="14">
        <v>0</v>
      </c>
      <c r="C12" s="14">
        <v>0</v>
      </c>
      <c r="D12" s="31">
        <f t="shared" si="0"/>
        <v>0</v>
      </c>
      <c r="E12" s="41">
        <f t="shared" si="1"/>
        <v>0</v>
      </c>
      <c r="F12" s="17">
        <v>0</v>
      </c>
      <c r="G12" s="22">
        <f t="shared" si="2"/>
        <v>0</v>
      </c>
      <c r="H12" s="40" t="str">
        <f t="shared" si="3"/>
        <v/>
      </c>
    </row>
    <row r="13" spans="1:8" ht="19.5" customHeight="1" x14ac:dyDescent="0.35">
      <c r="A13" s="18" t="s">
        <v>124</v>
      </c>
      <c r="B13" s="18"/>
      <c r="C13" s="18"/>
      <c r="D13" s="18"/>
      <c r="E13" s="18"/>
      <c r="F13" s="42">
        <f>SUM(F3:F12)</f>
        <v>0</v>
      </c>
      <c r="G13" s="42">
        <f>SUM(G3:G12)</f>
        <v>0</v>
      </c>
    </row>
    <row r="15" spans="1:8" ht="21.75" customHeight="1" x14ac:dyDescent="0.35">
      <c r="A15" s="19" t="s">
        <v>125</v>
      </c>
      <c r="B15" s="19"/>
      <c r="C15" s="19"/>
      <c r="D15" s="19"/>
      <c r="E15" s="19"/>
      <c r="F15" s="19"/>
      <c r="G15" s="19"/>
      <c r="H15" s="19"/>
    </row>
    <row r="16" spans="1:8" ht="18" customHeight="1" x14ac:dyDescent="0.35">
      <c r="A16" s="20" t="s">
        <v>126</v>
      </c>
      <c r="B16" s="32">
        <f>G13</f>
        <v>0</v>
      </c>
    </row>
    <row r="17" spans="1:2" ht="18" customHeight="1" x14ac:dyDescent="0.35">
      <c r="A17" s="20" t="s">
        <v>127</v>
      </c>
      <c r="B17" s="17">
        <v>15000</v>
      </c>
    </row>
    <row r="18" spans="1:2" ht="18" customHeight="1" x14ac:dyDescent="0.35">
      <c r="A18" s="20" t="s">
        <v>128</v>
      </c>
      <c r="B18" s="30">
        <f>B16-B17</f>
        <v>-15000</v>
      </c>
    </row>
    <row r="19" spans="1:2" ht="18" customHeight="1" x14ac:dyDescent="0.35">
      <c r="A19" s="20" t="s">
        <v>129</v>
      </c>
      <c r="B19" s="43">
        <f>IF(B16=0,0,B17/B16)</f>
        <v>0</v>
      </c>
    </row>
    <row r="21" spans="1:2" x14ac:dyDescent="0.35">
      <c r="A21" s="25" t="s">
        <v>62</v>
      </c>
    </row>
    <row r="22" spans="1:2" ht="12.75" customHeight="1" x14ac:dyDescent="0.35">
      <c r="A22" s="26" t="s">
        <v>63</v>
      </c>
    </row>
    <row r="23" spans="1:2" ht="12.75" customHeight="1" x14ac:dyDescent="0.35">
      <c r="A23" s="27" t="s">
        <v>64</v>
      </c>
    </row>
    <row r="24" spans="1:2" ht="12.75" customHeight="1" x14ac:dyDescent="0.35">
      <c r="A24" s="28" t="s">
        <v>65</v>
      </c>
    </row>
    <row r="25" spans="1:2" ht="12.75" customHeight="1" x14ac:dyDescent="0.35">
      <c r="A25" s="29" t="s">
        <v>66</v>
      </c>
    </row>
  </sheetData>
  <sheetProtection algorithmName="SHA-512" hashValue="tf5fefdMHVt4r71oE2lNrM1+d10pAVuTPHR8SZ8n2hziprr4W1/cVDTSkcLP3VBk73E/b+J7GZoPUSvTs2xYhQ==" saltValue="p0GPtxKG2AbPA5pz5uhEDA==" spinCount="100000" sheet="1" objects="1" scenarios="1"/>
  <mergeCells count="3">
    <mergeCell ref="A1:H1"/>
    <mergeCell ref="A13:E13"/>
    <mergeCell ref="A15:H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rightToLeft="1" topLeftCell="A3" zoomScaleNormal="100" workbookViewId="0">
      <selection activeCell="A15" sqref="A15:G16"/>
    </sheetView>
  </sheetViews>
  <sheetFormatPr defaultColWidth="8.6328125" defaultRowHeight="14.5" x14ac:dyDescent="0.35"/>
  <cols>
    <col min="1" max="1" width="26" style="7" customWidth="1"/>
    <col min="2" max="2" width="16" style="7" customWidth="1"/>
    <col min="3" max="3" width="14" style="7" customWidth="1"/>
    <col min="4" max="5" width="20" style="7" customWidth="1"/>
    <col min="6" max="7" width="14" style="7" customWidth="1"/>
    <col min="8" max="16384" width="8.6328125" style="7"/>
  </cols>
  <sheetData>
    <row r="1" spans="1:7" ht="27.75" customHeight="1" x14ac:dyDescent="0.35">
      <c r="A1" s="6" t="s">
        <v>130</v>
      </c>
      <c r="B1" s="6"/>
      <c r="C1" s="6"/>
      <c r="D1" s="6"/>
      <c r="E1" s="6"/>
      <c r="F1" s="6"/>
      <c r="G1" s="6"/>
    </row>
    <row r="2" spans="1:7" ht="19.5" customHeight="1" x14ac:dyDescent="0.35">
      <c r="A2" s="12" t="s">
        <v>131</v>
      </c>
      <c r="B2" s="12" t="s">
        <v>132</v>
      </c>
      <c r="C2" s="12" t="s">
        <v>133</v>
      </c>
      <c r="D2" s="12" t="s">
        <v>134</v>
      </c>
      <c r="E2" s="12" t="s">
        <v>135</v>
      </c>
      <c r="F2" s="12" t="s">
        <v>136</v>
      </c>
      <c r="G2" s="12" t="s">
        <v>137</v>
      </c>
    </row>
    <row r="3" spans="1:7" ht="16.5" customHeight="1" x14ac:dyDescent="0.35">
      <c r="A3" s="11" t="s">
        <v>138</v>
      </c>
      <c r="B3" s="14">
        <v>0</v>
      </c>
      <c r="C3" s="11" t="s">
        <v>100</v>
      </c>
      <c r="D3" s="11"/>
      <c r="E3" s="11"/>
      <c r="F3" s="21">
        <v>0</v>
      </c>
      <c r="G3" s="11" t="s">
        <v>139</v>
      </c>
    </row>
    <row r="4" spans="1:7" ht="16.5" customHeight="1" x14ac:dyDescent="0.35">
      <c r="A4" s="11" t="s">
        <v>140</v>
      </c>
      <c r="B4" s="14">
        <v>0</v>
      </c>
      <c r="C4" s="11" t="s">
        <v>100</v>
      </c>
      <c r="D4" s="11"/>
      <c r="E4" s="11"/>
      <c r="F4" s="21">
        <v>0</v>
      </c>
      <c r="G4" s="11" t="s">
        <v>139</v>
      </c>
    </row>
    <row r="5" spans="1:7" ht="16.5" customHeight="1" x14ac:dyDescent="0.35">
      <c r="A5" s="11" t="s">
        <v>141</v>
      </c>
      <c r="B5" s="14">
        <v>0</v>
      </c>
      <c r="C5" s="11" t="s">
        <v>100</v>
      </c>
      <c r="D5" s="11"/>
      <c r="E5" s="11"/>
      <c r="F5" s="21">
        <v>0</v>
      </c>
      <c r="G5" s="11" t="s">
        <v>139</v>
      </c>
    </row>
    <row r="6" spans="1:7" ht="16.5" customHeight="1" x14ac:dyDescent="0.35">
      <c r="A6" s="11" t="s">
        <v>142</v>
      </c>
      <c r="B6" s="14">
        <v>0</v>
      </c>
      <c r="C6" s="11" t="s">
        <v>100</v>
      </c>
      <c r="D6" s="11"/>
      <c r="E6" s="11"/>
      <c r="F6" s="21">
        <v>0</v>
      </c>
      <c r="G6" s="11" t="s">
        <v>139</v>
      </c>
    </row>
    <row r="7" spans="1:7" ht="16.5" customHeight="1" x14ac:dyDescent="0.35">
      <c r="A7" s="11" t="s">
        <v>143</v>
      </c>
      <c r="B7" s="14">
        <v>0</v>
      </c>
      <c r="C7" s="11" t="s">
        <v>100</v>
      </c>
      <c r="D7" s="11"/>
      <c r="E7" s="11"/>
      <c r="F7" s="21">
        <v>0</v>
      </c>
      <c r="G7" s="11" t="s">
        <v>139</v>
      </c>
    </row>
    <row r="9" spans="1:7" ht="21.75" customHeight="1" x14ac:dyDescent="0.35">
      <c r="A9" s="9" t="s">
        <v>144</v>
      </c>
      <c r="B9" s="9"/>
      <c r="C9" s="9"/>
      <c r="D9" s="9"/>
      <c r="E9" s="9"/>
      <c r="F9" s="9"/>
      <c r="G9" s="9"/>
    </row>
    <row r="10" spans="1:7" ht="16.5" customHeight="1" x14ac:dyDescent="0.35">
      <c r="A10" s="10" t="s">
        <v>145</v>
      </c>
      <c r="B10" s="31">
        <f>AVERAGE(B3:B7)</f>
        <v>0</v>
      </c>
    </row>
    <row r="11" spans="1:7" ht="16.5" customHeight="1" x14ac:dyDescent="0.35">
      <c r="A11" s="10" t="s">
        <v>146</v>
      </c>
      <c r="B11" s="31">
        <f>MIN(B3:B7)</f>
        <v>0</v>
      </c>
    </row>
    <row r="12" spans="1:7" ht="16.5" customHeight="1" x14ac:dyDescent="0.35">
      <c r="A12" s="10" t="s">
        <v>147</v>
      </c>
      <c r="B12" s="31">
        <f>MAX(B3:B7)</f>
        <v>0</v>
      </c>
    </row>
    <row r="13" spans="1:7" ht="16.5" customHeight="1" x14ac:dyDescent="0.35">
      <c r="A13" s="10" t="s">
        <v>148</v>
      </c>
      <c r="B13" s="14">
        <v>0</v>
      </c>
    </row>
    <row r="14" spans="1:7" ht="16.5" customHeight="1" x14ac:dyDescent="0.35">
      <c r="A14" s="10" t="s">
        <v>149</v>
      </c>
      <c r="B14" s="41">
        <f>IF(B10=0,0,(B13-B10)/B10)</f>
        <v>0</v>
      </c>
    </row>
    <row r="15" spans="1:7" ht="25.5" customHeight="1" x14ac:dyDescent="0.35">
      <c r="A15" s="44" t="str">
        <f>IF(B13=0,"أدخل سعرك أولاً",IF(B13&lt;B10*0.85,"⚠️ سعرك منخفض جداً – قد يضر بصورة علامتك",IF(B13&lt;B10,"✅ تنافسي – أرخص من المتوسط",IF(B13&lt;B10*1.15,"⚖️ في نطاق السوق",IF(B13&lt;B10*1.3,"💎 متميز – أعلى من المتوسط","👑 ريادي – الأغلى في السوق")))))</f>
        <v>أدخل سعرك أولاً</v>
      </c>
      <c r="B15" s="44"/>
      <c r="C15" s="44"/>
      <c r="D15" s="44"/>
      <c r="E15" s="44"/>
      <c r="F15" s="44"/>
      <c r="G15" s="44"/>
    </row>
    <row r="16" spans="1:7" x14ac:dyDescent="0.35">
      <c r="A16" s="44"/>
      <c r="B16" s="44"/>
      <c r="C16" s="44"/>
      <c r="D16" s="44"/>
      <c r="E16" s="44"/>
      <c r="F16" s="44"/>
      <c r="G16" s="44"/>
    </row>
    <row r="18" spans="1:1" x14ac:dyDescent="0.35">
      <c r="A18" s="25" t="s">
        <v>62</v>
      </c>
    </row>
    <row r="19" spans="1:1" ht="12.75" customHeight="1" x14ac:dyDescent="0.35">
      <c r="A19" s="26" t="s">
        <v>63</v>
      </c>
    </row>
    <row r="20" spans="1:1" ht="12.75" customHeight="1" x14ac:dyDescent="0.35">
      <c r="A20" s="27" t="s">
        <v>64</v>
      </c>
    </row>
    <row r="21" spans="1:1" ht="12.75" customHeight="1" x14ac:dyDescent="0.35">
      <c r="A21" s="28" t="s">
        <v>65</v>
      </c>
    </row>
    <row r="22" spans="1:1" ht="12.75" customHeight="1" x14ac:dyDescent="0.35">
      <c r="A22" s="29" t="s">
        <v>66</v>
      </c>
    </row>
  </sheetData>
  <sheetProtection algorithmName="SHA-512" hashValue="ZFweM7+pvkx5ilQPAPewLFF//zLd+OkJbRzKxQjK+lZcFBISXXva6QKw3f1cEJOx26EoZaudeb8cVWhDueZVBw==" saltValue="2jM5hc8b3Mxx39kL2kyKNg==" spinCount="100000" sheet="1" objects="1" scenarios="1"/>
  <mergeCells count="3">
    <mergeCell ref="A1:G1"/>
    <mergeCell ref="A9:G9"/>
    <mergeCell ref="A15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"/>
  <sheetViews>
    <sheetView rightToLeft="1" zoomScaleNormal="100" workbookViewId="0">
      <selection activeCell="B19" sqref="B19"/>
    </sheetView>
  </sheetViews>
  <sheetFormatPr defaultColWidth="8.6328125" defaultRowHeight="14.5" x14ac:dyDescent="0.35"/>
  <cols>
    <col min="1" max="1" width="32" style="7" customWidth="1"/>
    <col min="2" max="2" width="20" style="7" customWidth="1"/>
    <col min="3" max="3" width="14" style="7" customWidth="1"/>
    <col min="4" max="4" width="10" style="7" customWidth="1"/>
    <col min="5" max="5" width="20" style="7" customWidth="1"/>
    <col min="6" max="6" width="10" style="7" customWidth="1"/>
    <col min="7" max="16384" width="8.6328125" style="7"/>
  </cols>
  <sheetData>
    <row r="1" spans="1:6" ht="27.75" customHeight="1" x14ac:dyDescent="0.35">
      <c r="A1" s="6" t="s">
        <v>150</v>
      </c>
      <c r="B1" s="6"/>
      <c r="C1" s="6"/>
      <c r="D1" s="6"/>
      <c r="E1" s="6"/>
      <c r="F1" s="6"/>
    </row>
    <row r="3" spans="1:6" ht="21.75" customHeight="1" x14ac:dyDescent="0.35">
      <c r="A3" s="9" t="s">
        <v>151</v>
      </c>
      <c r="B3" s="9"/>
      <c r="C3" s="9"/>
      <c r="D3" s="9"/>
      <c r="E3" s="9"/>
      <c r="F3" s="9"/>
    </row>
    <row r="4" spans="1:6" ht="19.5" customHeight="1" x14ac:dyDescent="0.35">
      <c r="A4" s="12" t="s">
        <v>107</v>
      </c>
      <c r="B4" s="12" t="s">
        <v>152</v>
      </c>
      <c r="C4" s="12" t="s">
        <v>153</v>
      </c>
      <c r="D4" s="12" t="s">
        <v>154</v>
      </c>
      <c r="E4" s="13" t="s">
        <v>155</v>
      </c>
      <c r="F4" s="13"/>
    </row>
    <row r="5" spans="1:6" ht="16.5" customHeight="1" x14ac:dyDescent="0.35">
      <c r="A5" s="11" t="s">
        <v>156</v>
      </c>
      <c r="B5" s="14">
        <v>0</v>
      </c>
      <c r="C5" s="11" t="s">
        <v>157</v>
      </c>
      <c r="D5" s="45">
        <v>1</v>
      </c>
      <c r="E5" s="31">
        <f t="shared" ref="E5:E10" si="0">IF(C5="نعم",B5*D5,0)</f>
        <v>0</v>
      </c>
    </row>
    <row r="6" spans="1:6" ht="16.5" customHeight="1" x14ac:dyDescent="0.35">
      <c r="A6" s="11" t="s">
        <v>158</v>
      </c>
      <c r="B6" s="14">
        <v>0</v>
      </c>
      <c r="C6" s="11" t="s">
        <v>157</v>
      </c>
      <c r="D6" s="45">
        <v>1</v>
      </c>
      <c r="E6" s="31">
        <f t="shared" si="0"/>
        <v>0</v>
      </c>
    </row>
    <row r="7" spans="1:6" ht="16.5" customHeight="1" x14ac:dyDescent="0.35">
      <c r="A7" s="11" t="s">
        <v>159</v>
      </c>
      <c r="B7" s="14">
        <v>0</v>
      </c>
      <c r="C7" s="11" t="s">
        <v>157</v>
      </c>
      <c r="D7" s="45">
        <v>1</v>
      </c>
      <c r="E7" s="31">
        <f t="shared" si="0"/>
        <v>0</v>
      </c>
    </row>
    <row r="8" spans="1:6" ht="16.5" customHeight="1" x14ac:dyDescent="0.35">
      <c r="A8" s="11" t="s">
        <v>160</v>
      </c>
      <c r="B8" s="14">
        <v>0</v>
      </c>
      <c r="C8" s="11" t="s">
        <v>157</v>
      </c>
      <c r="D8" s="45">
        <v>1</v>
      </c>
      <c r="E8" s="31">
        <f t="shared" si="0"/>
        <v>0</v>
      </c>
    </row>
    <row r="9" spans="1:6" ht="16.5" customHeight="1" x14ac:dyDescent="0.35">
      <c r="A9" s="11" t="s">
        <v>161</v>
      </c>
      <c r="B9" s="14">
        <v>0</v>
      </c>
      <c r="C9" s="11" t="s">
        <v>157</v>
      </c>
      <c r="D9" s="45">
        <v>1</v>
      </c>
      <c r="E9" s="31">
        <f t="shared" si="0"/>
        <v>0</v>
      </c>
    </row>
    <row r="10" spans="1:6" ht="16.5" customHeight="1" x14ac:dyDescent="0.35">
      <c r="A10" s="11" t="s">
        <v>162</v>
      </c>
      <c r="B10" s="14">
        <v>0</v>
      </c>
      <c r="C10" s="11" t="s">
        <v>157</v>
      </c>
      <c r="D10" s="45">
        <v>1</v>
      </c>
      <c r="E10" s="31">
        <f t="shared" si="0"/>
        <v>0</v>
      </c>
    </row>
    <row r="11" spans="1:6" ht="19.5" customHeight="1" x14ac:dyDescent="0.35">
      <c r="A11" s="18" t="s">
        <v>163</v>
      </c>
      <c r="B11" s="18"/>
      <c r="C11" s="18"/>
      <c r="D11" s="18"/>
      <c r="E11" s="30">
        <f>SUM(E5:E10)</f>
        <v>0</v>
      </c>
    </row>
    <row r="13" spans="1:6" ht="21.75" customHeight="1" x14ac:dyDescent="0.35">
      <c r="A13" s="19" t="s">
        <v>164</v>
      </c>
      <c r="B13" s="19"/>
      <c r="C13" s="19"/>
      <c r="D13" s="19"/>
      <c r="E13" s="19"/>
      <c r="F13" s="19"/>
    </row>
    <row r="14" spans="1:6" ht="18" customHeight="1" x14ac:dyDescent="0.35">
      <c r="A14" s="20" t="s">
        <v>165</v>
      </c>
      <c r="B14" s="31">
        <f>E11</f>
        <v>0</v>
      </c>
    </row>
    <row r="15" spans="1:6" ht="18" customHeight="1" x14ac:dyDescent="0.35">
      <c r="A15" s="20" t="s">
        <v>166</v>
      </c>
      <c r="B15" s="21">
        <v>0.2</v>
      </c>
    </row>
    <row r="16" spans="1:6" ht="18" customHeight="1" x14ac:dyDescent="0.35">
      <c r="A16" s="20" t="s">
        <v>167</v>
      </c>
      <c r="B16" s="30">
        <f>B14*(1-B15)</f>
        <v>0</v>
      </c>
    </row>
    <row r="17" spans="1:2" ht="18" customHeight="1" x14ac:dyDescent="0.35">
      <c r="A17" s="20" t="s">
        <v>168</v>
      </c>
      <c r="B17" s="30">
        <f>B14-B15</f>
        <v>-0.2</v>
      </c>
    </row>
    <row r="18" spans="1:2" ht="18" customHeight="1" x14ac:dyDescent="0.35">
      <c r="A18" s="20" t="s">
        <v>169</v>
      </c>
      <c r="B18" s="21">
        <v>0.4</v>
      </c>
    </row>
    <row r="19" spans="1:2" ht="18" customHeight="1" x14ac:dyDescent="0.35">
      <c r="A19" s="20" t="s">
        <v>170</v>
      </c>
      <c r="B19" s="30">
        <f>B14*(1-B17)</f>
        <v>0</v>
      </c>
    </row>
    <row r="21" spans="1:2" x14ac:dyDescent="0.35">
      <c r="A21" s="25" t="s">
        <v>62</v>
      </c>
    </row>
    <row r="22" spans="1:2" ht="12.75" customHeight="1" x14ac:dyDescent="0.35">
      <c r="A22" s="26" t="s">
        <v>63</v>
      </c>
    </row>
    <row r="23" spans="1:2" ht="12.75" customHeight="1" x14ac:dyDescent="0.35">
      <c r="A23" s="27" t="s">
        <v>64</v>
      </c>
    </row>
    <row r="24" spans="1:2" ht="12.75" customHeight="1" x14ac:dyDescent="0.35">
      <c r="A24" s="28" t="s">
        <v>65</v>
      </c>
    </row>
    <row r="25" spans="1:2" ht="12.75" customHeight="1" x14ac:dyDescent="0.35">
      <c r="A25" s="29" t="s">
        <v>66</v>
      </c>
    </row>
  </sheetData>
  <sheetProtection algorithmName="SHA-512" hashValue="zanTBFgQnzyydMwjyfAR2cU76rnKXRZ5hTJKD7JcsoAU7yeiY5l3HgJwjnAAQQ/4hdWHnuqM2qP8xFqv5L/eqQ==" saltValue="QWd/bBffZoKKgtUNhspJcA==" spinCount="100000" sheet="1" objects="1" scenarios="1"/>
  <mergeCells count="5">
    <mergeCell ref="A1:F1"/>
    <mergeCell ref="A3:F3"/>
    <mergeCell ref="E4:F4"/>
    <mergeCell ref="A11:D11"/>
    <mergeCell ref="A13:F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الغلاف</vt:lpstr>
      <vt:lpstr>تسعير التكلفة +</vt:lpstr>
      <vt:lpstr>تسعير القيمة</vt:lpstr>
      <vt:lpstr>تحليل الهوامش</vt:lpstr>
      <vt:lpstr>مقارنة أسعار المنافسين</vt:lpstr>
      <vt:lpstr>تسعير الحزم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abdullahmonief@outlook.sa</cp:lastModifiedBy>
  <cp:revision>1</cp:revision>
  <dcterms:created xsi:type="dcterms:W3CDTF">2026-06-10T01:20:20Z</dcterms:created>
  <dcterms:modified xsi:type="dcterms:W3CDTF">2026-06-11T18:10:53Z</dcterms:modified>
  <dc:language>en-US</dc:language>
</cp:coreProperties>
</file>