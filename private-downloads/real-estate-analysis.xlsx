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13_ncr:1_{366156D7-D65C-41C5-B84D-4F1A39D8F3F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محفظة العقارات" sheetId="2" r:id="rId2"/>
    <sheet name="سجل المستأجرين" sheetId="3" r:id="rId3"/>
    <sheet name="تحصيل الإيجارات" sheetId="4" r:id="rId4"/>
    <sheet name="سجل الصيانة" sheetId="5" r:id="rId5"/>
    <sheet name="تحليل عائد العقار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6" l="1"/>
  <c r="B17" i="6"/>
  <c r="B18" i="6" s="1"/>
  <c r="B19" i="6" s="1"/>
  <c r="B16" i="6"/>
  <c r="F18" i="5"/>
  <c r="C14" i="4"/>
  <c r="C16" i="4" s="1"/>
  <c r="N11" i="4"/>
  <c r="M11" i="4"/>
  <c r="L11" i="4"/>
  <c r="K11" i="4"/>
  <c r="J11" i="4"/>
  <c r="I11" i="4"/>
  <c r="H11" i="4"/>
  <c r="G11" i="4"/>
  <c r="F11" i="4"/>
  <c r="E11" i="4"/>
  <c r="D11" i="4"/>
  <c r="C11" i="4"/>
  <c r="O10" i="4"/>
  <c r="O9" i="4"/>
  <c r="O8" i="4"/>
  <c r="O7" i="4"/>
  <c r="O6" i="4"/>
  <c r="O5" i="4"/>
  <c r="O4" i="4"/>
  <c r="O3" i="4"/>
  <c r="O11" i="4" s="1"/>
  <c r="C15" i="4" s="1"/>
  <c r="B13" i="2"/>
  <c r="G10" i="2"/>
  <c r="F10" i="2"/>
  <c r="E10" i="2"/>
  <c r="B16" i="2" s="1"/>
  <c r="D10" i="2"/>
  <c r="K9" i="2"/>
  <c r="I9" i="2"/>
  <c r="H9" i="2"/>
  <c r="K8" i="2"/>
  <c r="I8" i="2"/>
  <c r="H8" i="2"/>
  <c r="K7" i="2"/>
  <c r="H7" i="2"/>
  <c r="I7" i="2" s="1"/>
  <c r="K6" i="2"/>
  <c r="H6" i="2"/>
  <c r="I6" i="2" s="1"/>
  <c r="K5" i="2"/>
  <c r="H5" i="2"/>
  <c r="I5" i="2" s="1"/>
  <c r="K4" i="2"/>
  <c r="H4" i="2"/>
  <c r="I4" i="2" s="1"/>
  <c r="K3" i="2"/>
  <c r="H3" i="2"/>
  <c r="H10" i="2" s="1"/>
  <c r="B14" i="2" l="1"/>
  <c r="I10" i="2"/>
  <c r="B17" i="2"/>
  <c r="B15" i="2"/>
  <c r="B20" i="6"/>
  <c r="B23" i="6" s="1"/>
  <c r="A26" i="6" s="1"/>
  <c r="I3" i="2"/>
  <c r="B21" i="6"/>
  <c r="B22" i="6" l="1"/>
  <c r="B25" i="6"/>
</calcChain>
</file>

<file path=xl/sharedStrings.xml><?xml version="1.0" encoding="utf-8"?>
<sst xmlns="http://schemas.openxmlformats.org/spreadsheetml/2006/main" count="182" uniqueCount="127">
  <si>
    <t>أدوات إدارة العقارات المؤجرة ومحفظة الإيجارات</t>
  </si>
  <si>
    <t>للملّاك – أدر عقاراتك واحسب عوائدك وتتبع مستأجريك بكفاءة</t>
  </si>
  <si>
    <t>🏘️ محفظة العقارات</t>
  </si>
  <si>
    <t>👥 سجل المستأجرين</t>
  </si>
  <si>
    <t>💵 تحصيل الإيجارات</t>
  </si>
  <si>
    <t>كل عقاراتك بنظرة</t>
  </si>
  <si>
    <t>عقود وتواريخ</t>
  </si>
  <si>
    <t>من دفع ومن تأخر</t>
  </si>
  <si>
    <t>🔧 الصيانة</t>
  </si>
  <si>
    <t>📊 تحليل العائد</t>
  </si>
  <si>
    <t>📅 التقويم</t>
  </si>
  <si>
    <t>تتبع المصاريف</t>
  </si>
  <si>
    <t>ROI لكل عقار</t>
  </si>
  <si>
    <t>تجديدات وإخلاءات</t>
  </si>
  <si>
    <t>محفظة العقارات المؤجرة</t>
  </si>
  <si>
    <t>العقار</t>
  </si>
  <si>
    <t>النوع</t>
  </si>
  <si>
    <t>الموقع</t>
  </si>
  <si>
    <t>قيمة الشراء (ريال)</t>
  </si>
  <si>
    <t>القيمة الحالية (ريال)</t>
  </si>
  <si>
    <t>الإيجار السنوي (ريال)</t>
  </si>
  <si>
    <t>المصاريف السنوية (ريال)</t>
  </si>
  <si>
    <t>صافي الدخل (ريال)</t>
  </si>
  <si>
    <t>العائد الصافي %</t>
  </si>
  <si>
    <t>نسبة الإشغال %</t>
  </si>
  <si>
    <t>الحالة</t>
  </si>
  <si>
    <t>شقة 1 – برج النخيل</t>
  </si>
  <si>
    <t>شقة</t>
  </si>
  <si>
    <t>الرياض</t>
  </si>
  <si>
    <t>فيلا الياسمين</t>
  </si>
  <si>
    <t>فيلا</t>
  </si>
  <si>
    <t>محل تجاري – السوق</t>
  </si>
  <si>
    <t>تجاري</t>
  </si>
  <si>
    <t>نجران</t>
  </si>
  <si>
    <t>شقة 2 – حي الورود</t>
  </si>
  <si>
    <t>جدة</t>
  </si>
  <si>
    <t>عمارة سكنية (4 شقق)</t>
  </si>
  <si>
    <t>عمارة</t>
  </si>
  <si>
    <t>الإجمالي</t>
  </si>
  <si>
    <t>ملخص المحفظة العقارية</t>
  </si>
  <si>
    <t>إجمالي قيمة المحفظة الحالية (ريال)</t>
  </si>
  <si>
    <t>إجمالي الدخل السنوي الصافي (ريال)</t>
  </si>
  <si>
    <t>متوسط العائد الصافي %</t>
  </si>
  <si>
    <t>نمو رأس المال (ريال)</t>
  </si>
  <si>
    <t>العائد الإجمالي (دخل + نمو) %</t>
  </si>
  <si>
    <t>🔑 دليل الألوان:</t>
  </si>
  <si>
    <t xml:space="preserve">  خلايا الإدخال</t>
  </si>
  <si>
    <t xml:space="preserve">  خلايا محسوبة</t>
  </si>
  <si>
    <t xml:space="preserve">  نتائج رئيسية</t>
  </si>
  <si>
    <t xml:space="preserve">  تحذير/سلبي</t>
  </si>
  <si>
    <t>سجل المستأجرين والعقود</t>
  </si>
  <si>
    <t>المستأجر</t>
  </si>
  <si>
    <t>رقم الجوال</t>
  </si>
  <si>
    <t>رقم الهوية</t>
  </si>
  <si>
    <t>بداية العقد</t>
  </si>
  <si>
    <t>نهاية العقد</t>
  </si>
  <si>
    <t>الإيجار الشهري (ريال)</t>
  </si>
  <si>
    <t>التأمين (ريال)</t>
  </si>
  <si>
    <t>طريقة السداد</t>
  </si>
  <si>
    <t>حالة العقد</t>
  </si>
  <si>
    <t>شهري</t>
  </si>
  <si>
    <t>ساري</t>
  </si>
  <si>
    <t>متابعة تحصيل الإيجارات الشهرية</t>
  </si>
  <si>
    <t>المستأجر/العقار</t>
  </si>
  <si>
    <t>الإيجار الشهري</t>
  </si>
  <si>
    <t>ينا</t>
  </si>
  <si>
    <t>فبر</t>
  </si>
  <si>
    <t>مار</t>
  </si>
  <si>
    <t>أبر</t>
  </si>
  <si>
    <t>ماي</t>
  </si>
  <si>
    <t>يون</t>
  </si>
  <si>
    <t>يول</t>
  </si>
  <si>
    <t>أغس</t>
  </si>
  <si>
    <t>سبت</t>
  </si>
  <si>
    <t>أكت</t>
  </si>
  <si>
    <t>نوف</t>
  </si>
  <si>
    <t>ديس</t>
  </si>
  <si>
    <t>المحصّل</t>
  </si>
  <si>
    <t>شقة 1 – النخيل</t>
  </si>
  <si>
    <t>محل – السوق</t>
  </si>
  <si>
    <t>شقة 2 – الورود</t>
  </si>
  <si>
    <t>عمارة ش1</t>
  </si>
  <si>
    <t>عمارة ش2</t>
  </si>
  <si>
    <t>عمارة ش3</t>
  </si>
  <si>
    <t>عمارة ش4</t>
  </si>
  <si>
    <t>الإجمالي الشهري</t>
  </si>
  <si>
    <t>معدل التحصيل</t>
  </si>
  <si>
    <t>الإيجار السنوي المتوقع (ريال)</t>
  </si>
  <si>
    <t>الإيجار المحصّل فعلياً (ريال)</t>
  </si>
  <si>
    <t>معدل التحصيل %</t>
  </si>
  <si>
    <t>سجل صيانة وإصلاحات العقارات</t>
  </si>
  <si>
    <t>التاريخ</t>
  </si>
  <si>
    <t>نوع الصيانة</t>
  </si>
  <si>
    <t>الوصف</t>
  </si>
  <si>
    <t>المقاول/الفني</t>
  </si>
  <si>
    <t>التكلفة (ريال)</t>
  </si>
  <si>
    <t>ملاحظات</t>
  </si>
  <si>
    <t>سباكة</t>
  </si>
  <si>
    <t>تسريب في المطبخ</t>
  </si>
  <si>
    <t>مكتمل</t>
  </si>
  <si>
    <t>كهرباء</t>
  </si>
  <si>
    <t>تغيير لوحة كهرباء</t>
  </si>
  <si>
    <t>تكييف</t>
  </si>
  <si>
    <t>صيانة دورية</t>
  </si>
  <si>
    <t>إجمالي تكاليف الصيانة</t>
  </si>
  <si>
    <t>تحليل العائد التفصيلي لعقار مؤجر</t>
  </si>
  <si>
    <t>بيانات العقار</t>
  </si>
  <si>
    <t>قيمة شراء العقار (ريال)</t>
  </si>
  <si>
    <t>تكاليف الشراء والتسجيل (ريال)</t>
  </si>
  <si>
    <t>تكاليف التجديد والتأثيث (ريال)</t>
  </si>
  <si>
    <t>معدل الإشغال السنوي %</t>
  </si>
  <si>
    <t>رسوم إدارة الأملاك %</t>
  </si>
  <si>
    <t>الصيانة السنوية (ريال)</t>
  </si>
  <si>
    <t>التأمين السنوي (ريال)</t>
  </si>
  <si>
    <t>رسوم الخدمات/الحراسة السنوية (ريال)</t>
  </si>
  <si>
    <t>معدل نمو قيمة العقار %</t>
  </si>
  <si>
    <t>⭐ مؤشرات العائد</t>
  </si>
  <si>
    <t>إجمالي الاستثمار (ريال)</t>
  </si>
  <si>
    <t>الدخل الإيجاري السنوي الإجمالي (ريال)</t>
  </si>
  <si>
    <t>رسوم الإدارة السنوية (ريال)</t>
  </si>
  <si>
    <t>إجمالي المصاريف السنوية (ريال)</t>
  </si>
  <si>
    <t>صافي الدخل التشغيلي NOI (ريال)</t>
  </si>
  <si>
    <t>العائد الإجمالي (Gross Yield) %</t>
  </si>
  <si>
    <t>العائد الصافي (Net Yield) %</t>
  </si>
  <si>
    <t>معدل العائد على الاستثمار (Cap Rate) %</t>
  </si>
  <si>
    <t>قيمة العقار بعد 5 سنوات (ريال)</t>
  </si>
  <si>
    <t>إجمالي العائد 5 سنوات (دخل+نمو)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</si>
</sst>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b/>
      <sz val="19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8"/>
      <color rgb="FFFFFFFF"/>
      <name val="Arial"/>
      <charset val="1"/>
    </font>
    <font>
      <b/>
      <sz val="11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1F6B75"/>
        <bgColor rgb="FF2E5FA3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5FA3"/>
        <bgColor rgb="FF1F6B75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8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6" fillId="2" borderId="2" xfId="0" applyFont="1" applyFill="1" applyBorder="1" applyAlignment="1">
      <alignment horizontal="center" vertical="center" wrapText="1"/>
    </xf>
    <xf numFmtId="49" fontId="7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4" fontId="10" fillId="9" borderId="3" xfId="0" applyNumberFormat="1" applyFont="1" applyFill="1" applyBorder="1" applyAlignment="1">
      <alignment horizontal="right" vertical="center"/>
    </xf>
    <xf numFmtId="0" fontId="13" fillId="0" borderId="0" xfId="0" applyFont="1"/>
    <xf numFmtId="0" fontId="14" fillId="5" borderId="2" xfId="0" applyFont="1" applyFill="1" applyBorder="1"/>
    <xf numFmtId="0" fontId="15" fillId="6" borderId="2" xfId="0" applyFont="1" applyFill="1" applyBorder="1"/>
    <xf numFmtId="0" fontId="16" fillId="9" borderId="2" xfId="0" applyFont="1" applyFill="1" applyBorder="1"/>
    <xf numFmtId="0" fontId="17" fillId="10" borderId="2" xfId="0" applyFont="1" applyFill="1" applyBorder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49" fontId="7" fillId="5" borderId="2" xfId="0" applyNumberFormat="1" applyFont="1" applyFill="1" applyBorder="1" applyAlignment="1" applyProtection="1">
      <alignment horizontal="right" vertical="center"/>
      <protection locked="0"/>
    </xf>
    <xf numFmtId="3" fontId="7" fillId="5" borderId="2" xfId="0" applyNumberFormat="1" applyFont="1" applyFill="1" applyBorder="1" applyAlignment="1" applyProtection="1">
      <alignment horizontal="right" vertical="center"/>
      <protection locked="0"/>
    </xf>
    <xf numFmtId="9" fontId="7" fillId="5" borderId="2" xfId="0" applyNumberFormat="1" applyFont="1" applyFill="1" applyBorder="1" applyAlignment="1" applyProtection="1">
      <alignment horizontal="right" vertical="center"/>
      <protection locked="0"/>
    </xf>
    <xf numFmtId="0" fontId="3" fillId="8" borderId="2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left" vertical="center" wrapText="1"/>
      <protection locked="0"/>
    </xf>
    <xf numFmtId="0" fontId="13" fillId="0" borderId="0" xfId="0" applyFont="1" applyProtection="1">
      <protection locked="0"/>
    </xf>
    <xf numFmtId="0" fontId="14" fillId="5" borderId="2" xfId="0" applyFont="1" applyFill="1" applyBorder="1" applyProtection="1">
      <protection locked="0"/>
    </xf>
    <xf numFmtId="0" fontId="15" fillId="6" borderId="2" xfId="0" applyFont="1" applyFill="1" applyBorder="1" applyProtection="1">
      <protection locked="0"/>
    </xf>
    <xf numFmtId="0" fontId="16" fillId="9" borderId="2" xfId="0" applyFont="1" applyFill="1" applyBorder="1" applyProtection="1">
      <protection locked="0"/>
    </xf>
    <xf numFmtId="0" fontId="17" fillId="10" borderId="2" xfId="0" applyFont="1" applyFill="1" applyBorder="1" applyProtection="1">
      <protection locked="0"/>
    </xf>
    <xf numFmtId="4" fontId="10" fillId="9" borderId="3" xfId="0" applyNumberFormat="1" applyFont="1" applyFill="1" applyBorder="1" applyAlignment="1" applyProtection="1">
      <alignment horizontal="right" vertical="center"/>
      <protection locked="0" hidden="1"/>
    </xf>
    <xf numFmtId="10" fontId="8" fillId="6" borderId="2" xfId="0" applyNumberFormat="1" applyFont="1" applyFill="1" applyBorder="1" applyAlignment="1" applyProtection="1">
      <alignment horizontal="right" vertical="center"/>
      <protection locked="0" hidden="1"/>
    </xf>
    <xf numFmtId="3" fontId="8" fillId="6" borderId="2" xfId="0" applyNumberFormat="1" applyFont="1" applyFill="1" applyBorder="1" applyAlignment="1" applyProtection="1">
      <alignment horizontal="right" vertical="center"/>
      <protection locked="0" hidden="1"/>
    </xf>
    <xf numFmtId="0" fontId="9" fillId="7" borderId="2" xfId="0" applyFont="1" applyFill="1" applyBorder="1" applyAlignment="1" applyProtection="1">
      <alignment horizontal="center" vertical="center" wrapText="1"/>
      <protection locked="0" hidden="1"/>
    </xf>
    <xf numFmtId="3" fontId="10" fillId="9" borderId="3" xfId="0" applyNumberFormat="1" applyFont="1" applyFill="1" applyBorder="1" applyAlignment="1" applyProtection="1">
      <alignment horizontal="right" vertical="center"/>
      <protection locked="0" hidden="1"/>
    </xf>
    <xf numFmtId="10" fontId="10" fillId="9" borderId="3" xfId="0" applyNumberFormat="1" applyFont="1" applyFill="1" applyBorder="1" applyAlignment="1" applyProtection="1">
      <alignment horizontal="right" vertical="center"/>
      <protection locked="0" hidden="1"/>
    </xf>
    <xf numFmtId="0" fontId="18" fillId="8" borderId="2" xfId="0" applyFont="1" applyFill="1" applyBorder="1" applyAlignment="1" applyProtection="1">
      <alignment horizontal="center" vertical="center" wrapText="1"/>
      <protection locked="0"/>
    </xf>
    <xf numFmtId="0" fontId="18" fillId="3" borderId="2" xfId="0" applyFont="1" applyFill="1" applyBorder="1" applyAlignment="1" applyProtection="1">
      <alignment horizontal="center" vertical="center" wrapText="1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8" fillId="7" borderId="2" xfId="0" applyFont="1" applyFill="1" applyBorder="1" applyAlignment="1" applyProtection="1">
      <alignment horizontal="left" vertical="center" wrapText="1"/>
      <protection locked="0"/>
    </xf>
    <xf numFmtId="0" fontId="6" fillId="8" borderId="2" xfId="0" applyFont="1" applyFill="1" applyBorder="1" applyAlignment="1" applyProtection="1">
      <alignment horizontal="center" vertical="center" wrapText="1"/>
      <protection locked="0"/>
    </xf>
    <xf numFmtId="164" fontId="10" fillId="9" borderId="3" xfId="0" applyNumberFormat="1" applyFont="1" applyFill="1" applyBorder="1" applyAlignment="1" applyProtection="1">
      <alignment horizontal="right" vertical="center"/>
      <protection locked="0" hidden="1"/>
    </xf>
    <xf numFmtId="0" fontId="11" fillId="8" borderId="2" xfId="0" applyFont="1" applyFill="1" applyBorder="1" applyAlignment="1" applyProtection="1">
      <alignment horizontal="center" vertical="center" wrapText="1"/>
      <protection locked="0"/>
    </xf>
    <xf numFmtId="164" fontId="7" fillId="5" borderId="2" xfId="0" applyNumberFormat="1" applyFont="1" applyFill="1" applyBorder="1" applyAlignment="1" applyProtection="1">
      <alignment horizontal="right" vertical="center"/>
      <protection locked="0"/>
    </xf>
    <xf numFmtId="0" fontId="19" fillId="9" borderId="4" xfId="0" applyFont="1" applyFill="1" applyBorder="1" applyAlignment="1" applyProtection="1">
      <alignment horizontal="center" vertical="center" wrapText="1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1F6B75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6.5" customHeight="1" x14ac:dyDescent="0.35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ht="16.5" customHeight="1" x14ac:dyDescent="0.35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16.5" customHeight="1" x14ac:dyDescent="0.3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5" customHeight="1" x14ac:dyDescent="0.3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ht="16.5" customHeight="1" x14ac:dyDescent="0.35">
      <c r="A6" s="5" t="s">
        <v>1</v>
      </c>
      <c r="B6" s="5"/>
      <c r="C6" s="5"/>
      <c r="D6" s="5"/>
      <c r="E6" s="5"/>
      <c r="F6" s="5"/>
      <c r="G6" s="5"/>
      <c r="H6" s="5"/>
      <c r="I6" s="5"/>
      <c r="J6" s="5"/>
    </row>
    <row r="7" spans="1:10" ht="16.5" customHeight="1" x14ac:dyDescent="0.3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8.75" customHeight="1" x14ac:dyDescent="0.35">
      <c r="B9" s="4" t="s">
        <v>2</v>
      </c>
      <c r="C9" s="4"/>
      <c r="D9" s="4"/>
      <c r="E9" s="4" t="s">
        <v>3</v>
      </c>
      <c r="F9" s="4"/>
      <c r="G9" s="4"/>
      <c r="H9" s="4" t="s">
        <v>4</v>
      </c>
      <c r="I9" s="4"/>
      <c r="J9" s="4"/>
    </row>
    <row r="10" spans="1:10" ht="15" customHeight="1" x14ac:dyDescent="0.35">
      <c r="B10" s="3" t="s">
        <v>5</v>
      </c>
      <c r="C10" s="3"/>
      <c r="D10" s="3"/>
      <c r="E10" s="3" t="s">
        <v>6</v>
      </c>
      <c r="F10" s="3"/>
      <c r="G10" s="3"/>
      <c r="H10" s="3" t="s">
        <v>7</v>
      </c>
      <c r="I10" s="3"/>
      <c r="J10" s="3"/>
    </row>
    <row r="11" spans="1:10" ht="16.5" customHeight="1" x14ac:dyDescent="0.35"/>
    <row r="12" spans="1:10" ht="16.5" customHeight="1" x14ac:dyDescent="0.35"/>
    <row r="13" spans="1:10" ht="18.75" customHeight="1" x14ac:dyDescent="0.35">
      <c r="B13" s="4" t="s">
        <v>8</v>
      </c>
      <c r="C13" s="4"/>
      <c r="D13" s="4"/>
      <c r="E13" s="4" t="s">
        <v>9</v>
      </c>
      <c r="F13" s="4"/>
      <c r="G13" s="4"/>
      <c r="H13" s="4" t="s">
        <v>10</v>
      </c>
      <c r="I13" s="4"/>
      <c r="J13" s="4"/>
    </row>
    <row r="14" spans="1:10" ht="15" customHeight="1" x14ac:dyDescent="0.35">
      <c r="B14" s="3" t="s">
        <v>11</v>
      </c>
      <c r="C14" s="3"/>
      <c r="D14" s="3"/>
      <c r="E14" s="3" t="s">
        <v>12</v>
      </c>
      <c r="F14" s="3"/>
      <c r="G14" s="3"/>
      <c r="H14" s="3" t="s">
        <v>13</v>
      </c>
      <c r="I14" s="3"/>
      <c r="J14" s="3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rightToLeft="1" topLeftCell="A2" zoomScaleNormal="100" workbookViewId="0">
      <selection activeCell="E10" sqref="E10"/>
    </sheetView>
  </sheetViews>
  <sheetFormatPr defaultColWidth="8.6328125" defaultRowHeight="14.5" x14ac:dyDescent="0.35"/>
  <cols>
    <col min="1" max="1" width="22" style="18" customWidth="1"/>
    <col min="2" max="2" width="10" style="18" customWidth="1"/>
    <col min="3" max="3" width="12" style="18" customWidth="1"/>
    <col min="4" max="8" width="16" style="18" customWidth="1"/>
    <col min="9" max="10" width="12" style="18" customWidth="1"/>
    <col min="11" max="11" width="10" style="18" customWidth="1"/>
    <col min="12" max="16384" width="8.6328125" style="18"/>
  </cols>
  <sheetData>
    <row r="1" spans="1:11" ht="27.75" customHeight="1" x14ac:dyDescent="0.35">
      <c r="A1" s="17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21.75" customHeight="1" x14ac:dyDescent="0.35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19" t="s">
        <v>23</v>
      </c>
      <c r="J2" s="19" t="s">
        <v>24</v>
      </c>
      <c r="K2" s="19" t="s">
        <v>25</v>
      </c>
    </row>
    <row r="3" spans="1:11" ht="15.75" customHeight="1" x14ac:dyDescent="0.35">
      <c r="A3" s="20" t="s">
        <v>26</v>
      </c>
      <c r="B3" s="20" t="s">
        <v>27</v>
      </c>
      <c r="C3" s="20" t="s">
        <v>28</v>
      </c>
      <c r="D3" s="21">
        <v>450000</v>
      </c>
      <c r="E3" s="21">
        <v>520000</v>
      </c>
      <c r="F3" s="21">
        <v>42000</v>
      </c>
      <c r="G3" s="21">
        <v>8000</v>
      </c>
      <c r="H3" s="33">
        <f t="shared" ref="H3:H9" si="0">F3*J3-G3</f>
        <v>34000</v>
      </c>
      <c r="I3" s="32">
        <f t="shared" ref="I3:I10" si="1">IF(D3=0,0,H3/D3)</f>
        <v>7.5555555555555556E-2</v>
      </c>
      <c r="J3" s="22">
        <v>1</v>
      </c>
      <c r="K3" s="34" t="str">
        <f t="shared" ref="K3:K9" si="2">IF(D3=0,"",IF(J3&gt;=0.95,"✅ مؤجّر",IF(J3&gt;=0.5,"🔄 جزئي","🔴 شاغر")))</f>
        <v>✅ مؤجّر</v>
      </c>
    </row>
    <row r="4" spans="1:11" ht="15.75" customHeight="1" x14ac:dyDescent="0.35">
      <c r="A4" s="20" t="s">
        <v>29</v>
      </c>
      <c r="B4" s="20" t="s">
        <v>30</v>
      </c>
      <c r="C4" s="20" t="s">
        <v>28</v>
      </c>
      <c r="D4" s="21">
        <v>1200000</v>
      </c>
      <c r="E4" s="21">
        <v>1400000</v>
      </c>
      <c r="F4" s="21">
        <v>90000</v>
      </c>
      <c r="G4" s="21">
        <v>15000</v>
      </c>
      <c r="H4" s="33">
        <f t="shared" si="0"/>
        <v>75000</v>
      </c>
      <c r="I4" s="32">
        <f t="shared" si="1"/>
        <v>6.25E-2</v>
      </c>
      <c r="J4" s="22">
        <v>1</v>
      </c>
      <c r="K4" s="34" t="str">
        <f t="shared" si="2"/>
        <v>✅ مؤجّر</v>
      </c>
    </row>
    <row r="5" spans="1:11" ht="15.75" customHeight="1" x14ac:dyDescent="0.35">
      <c r="A5" s="20" t="s">
        <v>31</v>
      </c>
      <c r="B5" s="20" t="s">
        <v>32</v>
      </c>
      <c r="C5" s="20" t="s">
        <v>33</v>
      </c>
      <c r="D5" s="21">
        <v>600000</v>
      </c>
      <c r="E5" s="21">
        <v>680000</v>
      </c>
      <c r="F5" s="21">
        <v>72000</v>
      </c>
      <c r="G5" s="21">
        <v>6000</v>
      </c>
      <c r="H5" s="33">
        <f t="shared" si="0"/>
        <v>66000</v>
      </c>
      <c r="I5" s="32">
        <f t="shared" si="1"/>
        <v>0.11</v>
      </c>
      <c r="J5" s="22">
        <v>1</v>
      </c>
      <c r="K5" s="34" t="str">
        <f t="shared" si="2"/>
        <v>✅ مؤجّر</v>
      </c>
    </row>
    <row r="6" spans="1:11" ht="15.75" customHeight="1" x14ac:dyDescent="0.35">
      <c r="A6" s="20" t="s">
        <v>34</v>
      </c>
      <c r="B6" s="20" t="s">
        <v>27</v>
      </c>
      <c r="C6" s="20" t="s">
        <v>35</v>
      </c>
      <c r="D6" s="21">
        <v>380000</v>
      </c>
      <c r="E6" s="21">
        <v>420000</v>
      </c>
      <c r="F6" s="21">
        <v>36000</v>
      </c>
      <c r="G6" s="21">
        <v>7000</v>
      </c>
      <c r="H6" s="33">
        <f t="shared" si="0"/>
        <v>26120</v>
      </c>
      <c r="I6" s="32">
        <f t="shared" si="1"/>
        <v>6.8736842105263152E-2</v>
      </c>
      <c r="J6" s="22">
        <v>0.92</v>
      </c>
      <c r="K6" s="34" t="str">
        <f t="shared" si="2"/>
        <v>🔄 جزئي</v>
      </c>
    </row>
    <row r="7" spans="1:11" ht="15.75" customHeight="1" x14ac:dyDescent="0.35">
      <c r="A7" s="20" t="s">
        <v>36</v>
      </c>
      <c r="B7" s="20" t="s">
        <v>37</v>
      </c>
      <c r="C7" s="20" t="s">
        <v>33</v>
      </c>
      <c r="D7" s="21">
        <v>900000</v>
      </c>
      <c r="E7" s="21">
        <v>1050000</v>
      </c>
      <c r="F7" s="21">
        <v>120000</v>
      </c>
      <c r="G7" s="21">
        <v>20000</v>
      </c>
      <c r="H7" s="33">
        <f t="shared" si="0"/>
        <v>85600</v>
      </c>
      <c r="I7" s="32">
        <f t="shared" si="1"/>
        <v>9.5111111111111105E-2</v>
      </c>
      <c r="J7" s="22">
        <v>0.88</v>
      </c>
      <c r="K7" s="34" t="str">
        <f t="shared" si="2"/>
        <v>🔄 جزئي</v>
      </c>
    </row>
    <row r="8" spans="1:11" ht="15.75" customHeight="1" x14ac:dyDescent="0.35">
      <c r="A8" s="20"/>
      <c r="B8" s="20"/>
      <c r="C8" s="20"/>
      <c r="D8" s="21">
        <v>0</v>
      </c>
      <c r="E8" s="21">
        <v>0</v>
      </c>
      <c r="F8" s="21">
        <v>0</v>
      </c>
      <c r="G8" s="21">
        <v>0</v>
      </c>
      <c r="H8" s="33">
        <f t="shared" si="0"/>
        <v>0</v>
      </c>
      <c r="I8" s="32">
        <f t="shared" si="1"/>
        <v>0</v>
      </c>
      <c r="J8" s="22">
        <v>0</v>
      </c>
      <c r="K8" s="34" t="str">
        <f t="shared" si="2"/>
        <v/>
      </c>
    </row>
    <row r="9" spans="1:11" ht="15.75" customHeight="1" x14ac:dyDescent="0.35">
      <c r="A9" s="20"/>
      <c r="B9" s="20"/>
      <c r="C9" s="20"/>
      <c r="D9" s="21">
        <v>0</v>
      </c>
      <c r="E9" s="21">
        <v>0</v>
      </c>
      <c r="F9" s="21">
        <v>0</v>
      </c>
      <c r="G9" s="21">
        <v>0</v>
      </c>
      <c r="H9" s="33">
        <f t="shared" si="0"/>
        <v>0</v>
      </c>
      <c r="I9" s="32">
        <f t="shared" si="1"/>
        <v>0</v>
      </c>
      <c r="J9" s="22">
        <v>0</v>
      </c>
      <c r="K9" s="34" t="str">
        <f t="shared" si="2"/>
        <v/>
      </c>
    </row>
    <row r="10" spans="1:11" ht="19.5" customHeight="1" x14ac:dyDescent="0.35">
      <c r="A10" s="23" t="s">
        <v>38</v>
      </c>
      <c r="B10" s="23"/>
      <c r="C10" s="23"/>
      <c r="D10" s="31">
        <f>SUM(D3:D9)</f>
        <v>3530000</v>
      </c>
      <c r="E10" s="31">
        <f>SUM(E3:E9)</f>
        <v>4070000</v>
      </c>
      <c r="F10" s="31">
        <f>SUM(F3:F9)</f>
        <v>360000</v>
      </c>
      <c r="G10" s="31">
        <f>SUM(G3:G9)</f>
        <v>56000</v>
      </c>
      <c r="H10" s="31">
        <f>SUM(H3:H9)</f>
        <v>286720</v>
      </c>
      <c r="I10" s="32">
        <f t="shared" si="1"/>
        <v>8.1223796033994336E-2</v>
      </c>
    </row>
    <row r="12" spans="1:11" ht="21.75" customHeight="1" x14ac:dyDescent="0.35">
      <c r="A12" s="24" t="s">
        <v>39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11" ht="18" customHeight="1" x14ac:dyDescent="0.35">
      <c r="A13" s="25" t="s">
        <v>40</v>
      </c>
      <c r="B13" s="35">
        <f>E10</f>
        <v>4070000</v>
      </c>
    </row>
    <row r="14" spans="1:11" ht="18" customHeight="1" x14ac:dyDescent="0.35">
      <c r="A14" s="25" t="s">
        <v>41</v>
      </c>
      <c r="B14" s="35">
        <f>H10</f>
        <v>286720</v>
      </c>
    </row>
    <row r="15" spans="1:11" ht="18" customHeight="1" x14ac:dyDescent="0.35">
      <c r="A15" s="25" t="s">
        <v>42</v>
      </c>
      <c r="B15" s="36">
        <f>IF(D10=0,0,H10/D10)</f>
        <v>8.1223796033994336E-2</v>
      </c>
    </row>
    <row r="16" spans="1:11" ht="18" customHeight="1" x14ac:dyDescent="0.35">
      <c r="A16" s="25" t="s">
        <v>43</v>
      </c>
      <c r="B16" s="35">
        <f>E10-D10</f>
        <v>540000</v>
      </c>
    </row>
    <row r="17" spans="1:2" ht="18" customHeight="1" x14ac:dyDescent="0.35">
      <c r="A17" s="25" t="s">
        <v>44</v>
      </c>
      <c r="B17" s="36">
        <f>IF(D10=0,0,(H10+E10-D10)/D10)</f>
        <v>0.23419830028328611</v>
      </c>
    </row>
    <row r="19" spans="1:2" x14ac:dyDescent="0.35">
      <c r="A19" s="26" t="s">
        <v>45</v>
      </c>
    </row>
    <row r="20" spans="1:2" ht="12.75" customHeight="1" x14ac:dyDescent="0.35">
      <c r="A20" s="27" t="s">
        <v>46</v>
      </c>
    </row>
    <row r="21" spans="1:2" ht="12.75" customHeight="1" x14ac:dyDescent="0.35">
      <c r="A21" s="28" t="s">
        <v>47</v>
      </c>
    </row>
    <row r="22" spans="1:2" ht="12.75" customHeight="1" x14ac:dyDescent="0.35">
      <c r="A22" s="29" t="s">
        <v>48</v>
      </c>
    </row>
    <row r="23" spans="1:2" ht="12.75" customHeight="1" x14ac:dyDescent="0.35">
      <c r="A23" s="30" t="s">
        <v>49</v>
      </c>
    </row>
  </sheetData>
  <sheetProtection algorithmName="SHA-512" hashValue="PTKJxSuz9InTkWWh0PAZtCBwk7VTL7N2VfykQy9g4KeaLgi7ZiYAN0p4wN+GdVWq1ckU6AGiuT/v8AiZafYQSw==" saltValue="AZVQXsH2kICb0AKqJQwkvw==" spinCount="100000" sheet="1" objects="1" scenarios="1"/>
  <mergeCells count="3">
    <mergeCell ref="A1:K1"/>
    <mergeCell ref="A10:C10"/>
    <mergeCell ref="A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rightToLeft="1" zoomScale="98" zoomScaleNormal="100" workbookViewId="0">
      <selection sqref="A1:J1"/>
    </sheetView>
  </sheetViews>
  <sheetFormatPr defaultColWidth="8.6328125" defaultRowHeight="14.5" x14ac:dyDescent="0.35"/>
  <cols>
    <col min="1" max="2" width="18" customWidth="1"/>
    <col min="3" max="4" width="14" customWidth="1"/>
    <col min="5" max="6" width="12" customWidth="1"/>
    <col min="7" max="7" width="14" customWidth="1"/>
    <col min="8" max="10" width="12" customWidth="1"/>
  </cols>
  <sheetData>
    <row r="1" spans="1:10" ht="27.75" customHeight="1" x14ac:dyDescent="0.35">
      <c r="A1" s="2" t="s">
        <v>50</v>
      </c>
      <c r="B1" s="2"/>
      <c r="C1" s="2"/>
      <c r="D1" s="2"/>
      <c r="E1" s="2"/>
      <c r="F1" s="2"/>
      <c r="G1" s="2"/>
      <c r="H1" s="2"/>
      <c r="I1" s="2"/>
      <c r="J1" s="2"/>
    </row>
    <row r="2" spans="1:10" ht="21.75" customHeight="1" x14ac:dyDescent="0.35">
      <c r="A2" s="8" t="s">
        <v>51</v>
      </c>
      <c r="B2" s="8" t="s">
        <v>15</v>
      </c>
      <c r="C2" s="8" t="s">
        <v>52</v>
      </c>
      <c r="D2" s="8" t="s">
        <v>53</v>
      </c>
      <c r="E2" s="8" t="s">
        <v>54</v>
      </c>
      <c r="F2" s="8" t="s">
        <v>55</v>
      </c>
      <c r="G2" s="8" t="s">
        <v>56</v>
      </c>
      <c r="H2" s="8" t="s">
        <v>57</v>
      </c>
      <c r="I2" s="8" t="s">
        <v>58</v>
      </c>
      <c r="J2" s="8" t="s">
        <v>59</v>
      </c>
    </row>
    <row r="3" spans="1:10" ht="15.75" customHeight="1" x14ac:dyDescent="0.35">
      <c r="A3" s="9"/>
      <c r="B3" s="9"/>
      <c r="C3" s="9"/>
      <c r="D3" s="9"/>
      <c r="E3" s="9"/>
      <c r="F3" s="9"/>
      <c r="G3" s="10">
        <v>0</v>
      </c>
      <c r="H3" s="10">
        <v>0</v>
      </c>
      <c r="I3" s="9" t="s">
        <v>60</v>
      </c>
      <c r="J3" s="9" t="s">
        <v>61</v>
      </c>
    </row>
    <row r="4" spans="1:10" ht="15.75" customHeight="1" x14ac:dyDescent="0.35">
      <c r="A4" s="9"/>
      <c r="B4" s="9"/>
      <c r="C4" s="9"/>
      <c r="D4" s="9"/>
      <c r="E4" s="9"/>
      <c r="F4" s="9"/>
      <c r="G4" s="10">
        <v>0</v>
      </c>
      <c r="H4" s="10">
        <v>0</v>
      </c>
      <c r="I4" s="9" t="s">
        <v>60</v>
      </c>
      <c r="J4" s="9" t="s">
        <v>61</v>
      </c>
    </row>
    <row r="5" spans="1:10" ht="15.75" customHeight="1" x14ac:dyDescent="0.35">
      <c r="A5" s="9"/>
      <c r="B5" s="9"/>
      <c r="C5" s="9"/>
      <c r="D5" s="9"/>
      <c r="E5" s="9"/>
      <c r="F5" s="9"/>
      <c r="G5" s="10">
        <v>0</v>
      </c>
      <c r="H5" s="10">
        <v>0</v>
      </c>
      <c r="I5" s="9" t="s">
        <v>60</v>
      </c>
      <c r="J5" s="9" t="s">
        <v>61</v>
      </c>
    </row>
    <row r="6" spans="1:10" ht="15.75" customHeight="1" x14ac:dyDescent="0.35">
      <c r="A6" s="9"/>
      <c r="B6" s="9"/>
      <c r="C6" s="9"/>
      <c r="D6" s="9"/>
      <c r="E6" s="9"/>
      <c r="F6" s="9"/>
      <c r="G6" s="10">
        <v>0</v>
      </c>
      <c r="H6" s="10">
        <v>0</v>
      </c>
      <c r="I6" s="9" t="s">
        <v>60</v>
      </c>
      <c r="J6" s="9" t="s">
        <v>61</v>
      </c>
    </row>
    <row r="7" spans="1:10" ht="15.75" customHeight="1" x14ac:dyDescent="0.35">
      <c r="A7" s="9"/>
      <c r="B7" s="9"/>
      <c r="C7" s="9"/>
      <c r="D7" s="9"/>
      <c r="E7" s="9"/>
      <c r="F7" s="9"/>
      <c r="G7" s="10">
        <v>0</v>
      </c>
      <c r="H7" s="10">
        <v>0</v>
      </c>
      <c r="I7" s="9" t="s">
        <v>60</v>
      </c>
      <c r="J7" s="9" t="s">
        <v>61</v>
      </c>
    </row>
    <row r="8" spans="1:10" ht="15.75" customHeight="1" x14ac:dyDescent="0.35">
      <c r="A8" s="9"/>
      <c r="B8" s="9"/>
      <c r="C8" s="9"/>
      <c r="D8" s="9"/>
      <c r="E8" s="9"/>
      <c r="F8" s="9"/>
      <c r="G8" s="10">
        <v>0</v>
      </c>
      <c r="H8" s="10">
        <v>0</v>
      </c>
      <c r="I8" s="9" t="s">
        <v>60</v>
      </c>
      <c r="J8" s="9" t="s">
        <v>61</v>
      </c>
    </row>
    <row r="9" spans="1:10" ht="15.75" customHeight="1" x14ac:dyDescent="0.35">
      <c r="A9" s="9"/>
      <c r="B9" s="9"/>
      <c r="C9" s="9"/>
      <c r="D9" s="9"/>
      <c r="E9" s="9"/>
      <c r="F9" s="9"/>
      <c r="G9" s="10">
        <v>0</v>
      </c>
      <c r="H9" s="10">
        <v>0</v>
      </c>
      <c r="I9" s="9" t="s">
        <v>60</v>
      </c>
      <c r="J9" s="9" t="s">
        <v>61</v>
      </c>
    </row>
    <row r="10" spans="1:10" ht="15.75" customHeight="1" x14ac:dyDescent="0.35">
      <c r="A10" s="9"/>
      <c r="B10" s="9"/>
      <c r="C10" s="9"/>
      <c r="D10" s="9"/>
      <c r="E10" s="9"/>
      <c r="F10" s="9"/>
      <c r="G10" s="10">
        <v>0</v>
      </c>
      <c r="H10" s="10">
        <v>0</v>
      </c>
      <c r="I10" s="9" t="s">
        <v>60</v>
      </c>
      <c r="J10" s="9" t="s">
        <v>61</v>
      </c>
    </row>
    <row r="11" spans="1:10" ht="15.75" customHeight="1" x14ac:dyDescent="0.35">
      <c r="A11" s="9"/>
      <c r="B11" s="9"/>
      <c r="C11" s="9"/>
      <c r="D11" s="9"/>
      <c r="E11" s="9"/>
      <c r="F11" s="9"/>
      <c r="G11" s="10">
        <v>0</v>
      </c>
      <c r="H11" s="10">
        <v>0</v>
      </c>
      <c r="I11" s="9" t="s">
        <v>60</v>
      </c>
      <c r="J11" s="9" t="s">
        <v>61</v>
      </c>
    </row>
    <row r="12" spans="1:10" ht="15.75" customHeight="1" x14ac:dyDescent="0.35">
      <c r="A12" s="9"/>
      <c r="B12" s="9"/>
      <c r="C12" s="9"/>
      <c r="D12" s="9"/>
      <c r="E12" s="9"/>
      <c r="F12" s="9"/>
      <c r="G12" s="10">
        <v>0</v>
      </c>
      <c r="H12" s="10">
        <v>0</v>
      </c>
      <c r="I12" s="9" t="s">
        <v>60</v>
      </c>
      <c r="J12" s="9" t="s">
        <v>61</v>
      </c>
    </row>
    <row r="13" spans="1:10" ht="15.75" customHeight="1" x14ac:dyDescent="0.35">
      <c r="A13" s="9"/>
      <c r="B13" s="9"/>
      <c r="C13" s="9"/>
      <c r="D13" s="9"/>
      <c r="E13" s="9"/>
      <c r="F13" s="9"/>
      <c r="G13" s="10">
        <v>0</v>
      </c>
      <c r="H13" s="10">
        <v>0</v>
      </c>
      <c r="I13" s="9" t="s">
        <v>60</v>
      </c>
      <c r="J13" s="9" t="s">
        <v>61</v>
      </c>
    </row>
    <row r="14" spans="1:10" ht="15.75" customHeight="1" x14ac:dyDescent="0.35">
      <c r="A14" s="9"/>
      <c r="B14" s="9"/>
      <c r="C14" s="9"/>
      <c r="D14" s="9"/>
      <c r="E14" s="9"/>
      <c r="F14" s="9"/>
      <c r="G14" s="10">
        <v>0</v>
      </c>
      <c r="H14" s="10">
        <v>0</v>
      </c>
      <c r="I14" s="9" t="s">
        <v>60</v>
      </c>
      <c r="J14" s="9" t="s">
        <v>61</v>
      </c>
    </row>
    <row r="16" spans="1:10" x14ac:dyDescent="0.35">
      <c r="A16" s="12" t="s">
        <v>45</v>
      </c>
    </row>
    <row r="17" spans="1:1" ht="12.75" customHeight="1" x14ac:dyDescent="0.35">
      <c r="A17" s="13" t="s">
        <v>46</v>
      </c>
    </row>
    <row r="18" spans="1:1" ht="12.75" customHeight="1" x14ac:dyDescent="0.35">
      <c r="A18" s="14" t="s">
        <v>47</v>
      </c>
    </row>
    <row r="19" spans="1:1" ht="12.75" customHeight="1" x14ac:dyDescent="0.35">
      <c r="A19" s="15" t="s">
        <v>48</v>
      </c>
    </row>
    <row r="20" spans="1:1" ht="12.75" customHeight="1" x14ac:dyDescent="0.35">
      <c r="A20" s="16" t="s">
        <v>49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rightToLeft="1" topLeftCell="A2" zoomScaleNormal="100" workbookViewId="0">
      <selection activeCell="F11" sqref="F11"/>
    </sheetView>
  </sheetViews>
  <sheetFormatPr defaultColWidth="8.6328125" defaultRowHeight="14.5" x14ac:dyDescent="0.35"/>
  <cols>
    <col min="1" max="1" width="18" style="18" customWidth="1"/>
    <col min="2" max="2" width="12" style="18" customWidth="1"/>
    <col min="3" max="14" width="7" style="18" customWidth="1"/>
    <col min="15" max="15" width="12" style="18" customWidth="1"/>
    <col min="16" max="16384" width="8.6328125" style="18"/>
  </cols>
  <sheetData>
    <row r="1" spans="1:15" ht="27.75" customHeight="1" x14ac:dyDescent="0.35">
      <c r="A1" s="17" t="s">
        <v>62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9.5" customHeight="1" x14ac:dyDescent="0.35">
      <c r="A2" s="19" t="s">
        <v>63</v>
      </c>
      <c r="B2" s="19" t="s">
        <v>64</v>
      </c>
      <c r="C2" s="37" t="s">
        <v>65</v>
      </c>
      <c r="D2" s="37" t="s">
        <v>66</v>
      </c>
      <c r="E2" s="37" t="s">
        <v>67</v>
      </c>
      <c r="F2" s="37" t="s">
        <v>68</v>
      </c>
      <c r="G2" s="37" t="s">
        <v>69</v>
      </c>
      <c r="H2" s="37" t="s">
        <v>70</v>
      </c>
      <c r="I2" s="37" t="s">
        <v>71</v>
      </c>
      <c r="J2" s="37" t="s">
        <v>72</v>
      </c>
      <c r="K2" s="37" t="s">
        <v>73</v>
      </c>
      <c r="L2" s="37" t="s">
        <v>74</v>
      </c>
      <c r="M2" s="37" t="s">
        <v>75</v>
      </c>
      <c r="N2" s="37" t="s">
        <v>76</v>
      </c>
      <c r="O2" s="38" t="s">
        <v>77</v>
      </c>
    </row>
    <row r="3" spans="1:15" ht="15.75" customHeight="1" x14ac:dyDescent="0.35">
      <c r="A3" s="39" t="s">
        <v>78</v>
      </c>
      <c r="B3" s="21">
        <v>0</v>
      </c>
      <c r="C3" s="21">
        <v>0</v>
      </c>
      <c r="D3" s="21">
        <v>0</v>
      </c>
      <c r="E3" s="21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21">
        <v>0</v>
      </c>
      <c r="O3" s="33">
        <f t="shared" ref="O3:O10" si="0">SUM(C3:N3)</f>
        <v>0</v>
      </c>
    </row>
    <row r="4" spans="1:15" ht="15.75" customHeight="1" x14ac:dyDescent="0.35">
      <c r="A4" s="40" t="s">
        <v>29</v>
      </c>
      <c r="B4" s="21">
        <v>0</v>
      </c>
      <c r="C4" s="21">
        <v>0</v>
      </c>
      <c r="D4" s="21">
        <v>0</v>
      </c>
      <c r="E4" s="21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33">
        <f t="shared" si="0"/>
        <v>0</v>
      </c>
    </row>
    <row r="5" spans="1:15" ht="15.75" customHeight="1" x14ac:dyDescent="0.35">
      <c r="A5" s="39" t="s">
        <v>79</v>
      </c>
      <c r="B5" s="21">
        <v>0</v>
      </c>
      <c r="C5" s="21">
        <v>0</v>
      </c>
      <c r="D5" s="21">
        <v>0</v>
      </c>
      <c r="E5" s="21">
        <v>0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33">
        <f t="shared" si="0"/>
        <v>0</v>
      </c>
    </row>
    <row r="6" spans="1:15" ht="15.75" customHeight="1" x14ac:dyDescent="0.35">
      <c r="A6" s="40" t="s">
        <v>80</v>
      </c>
      <c r="B6" s="21">
        <v>0</v>
      </c>
      <c r="C6" s="21">
        <v>0</v>
      </c>
      <c r="D6" s="21">
        <v>0</v>
      </c>
      <c r="E6" s="21">
        <v>0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0</v>
      </c>
      <c r="N6" s="21">
        <v>0</v>
      </c>
      <c r="O6" s="33">
        <f t="shared" si="0"/>
        <v>0</v>
      </c>
    </row>
    <row r="7" spans="1:15" ht="15.75" customHeight="1" x14ac:dyDescent="0.35">
      <c r="A7" s="39" t="s">
        <v>81</v>
      </c>
      <c r="B7" s="21">
        <v>0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33">
        <f t="shared" si="0"/>
        <v>0</v>
      </c>
    </row>
    <row r="8" spans="1:15" ht="15.75" customHeight="1" x14ac:dyDescent="0.35">
      <c r="A8" s="40" t="s">
        <v>82</v>
      </c>
      <c r="B8" s="21">
        <v>0</v>
      </c>
      <c r="C8" s="21">
        <v>0</v>
      </c>
      <c r="D8" s="21">
        <v>0</v>
      </c>
      <c r="E8" s="21">
        <v>0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33">
        <f t="shared" si="0"/>
        <v>0</v>
      </c>
    </row>
    <row r="9" spans="1:15" ht="15.75" customHeight="1" x14ac:dyDescent="0.35">
      <c r="A9" s="39" t="s">
        <v>83</v>
      </c>
      <c r="B9" s="21">
        <v>0</v>
      </c>
      <c r="C9" s="21">
        <v>0</v>
      </c>
      <c r="D9" s="21">
        <v>0</v>
      </c>
      <c r="E9" s="21">
        <v>0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33">
        <f t="shared" si="0"/>
        <v>0</v>
      </c>
    </row>
    <row r="10" spans="1:15" ht="15.75" customHeight="1" x14ac:dyDescent="0.35">
      <c r="A10" s="40" t="s">
        <v>84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33">
        <f t="shared" si="0"/>
        <v>0</v>
      </c>
    </row>
    <row r="11" spans="1:15" ht="18" customHeight="1" x14ac:dyDescent="0.35">
      <c r="A11" s="41" t="s">
        <v>85</v>
      </c>
      <c r="B11" s="41"/>
      <c r="C11" s="35">
        <f t="shared" ref="C11:O11" si="1">SUM(C3:C10)</f>
        <v>0</v>
      </c>
      <c r="D11" s="35">
        <f t="shared" si="1"/>
        <v>0</v>
      </c>
      <c r="E11" s="35">
        <f t="shared" si="1"/>
        <v>0</v>
      </c>
      <c r="F11" s="35">
        <f t="shared" si="1"/>
        <v>0</v>
      </c>
      <c r="G11" s="35">
        <f t="shared" si="1"/>
        <v>0</v>
      </c>
      <c r="H11" s="35">
        <f t="shared" si="1"/>
        <v>0</v>
      </c>
      <c r="I11" s="35">
        <f t="shared" si="1"/>
        <v>0</v>
      </c>
      <c r="J11" s="35">
        <f t="shared" si="1"/>
        <v>0</v>
      </c>
      <c r="K11" s="35">
        <f t="shared" si="1"/>
        <v>0</v>
      </c>
      <c r="L11" s="35">
        <f t="shared" si="1"/>
        <v>0</v>
      </c>
      <c r="M11" s="35">
        <f t="shared" si="1"/>
        <v>0</v>
      </c>
      <c r="N11" s="35">
        <f t="shared" si="1"/>
        <v>0</v>
      </c>
      <c r="O11" s="35">
        <f t="shared" si="1"/>
        <v>0</v>
      </c>
    </row>
    <row r="13" spans="1:15" ht="21.75" customHeight="1" x14ac:dyDescent="0.35">
      <c r="A13" s="24" t="s">
        <v>86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</row>
    <row r="14" spans="1:15" ht="16.5" customHeight="1" x14ac:dyDescent="0.35">
      <c r="A14" s="25" t="s">
        <v>87</v>
      </c>
      <c r="C14" s="33">
        <f>SUM(B3:B10)*12</f>
        <v>0</v>
      </c>
    </row>
    <row r="15" spans="1:15" ht="16.5" customHeight="1" x14ac:dyDescent="0.35">
      <c r="A15" s="25" t="s">
        <v>88</v>
      </c>
      <c r="C15" s="33">
        <f>O11</f>
        <v>0</v>
      </c>
    </row>
    <row r="16" spans="1:15" ht="16.5" customHeight="1" x14ac:dyDescent="0.35">
      <c r="A16" s="25" t="s">
        <v>89</v>
      </c>
      <c r="C16" s="42">
        <f>IF(C14=0,0,C15/C14)</f>
        <v>0</v>
      </c>
    </row>
    <row r="18" spans="1:1" x14ac:dyDescent="0.35">
      <c r="A18" s="26" t="s">
        <v>45</v>
      </c>
    </row>
    <row r="19" spans="1:1" ht="12.75" customHeight="1" x14ac:dyDescent="0.35">
      <c r="A19" s="27" t="s">
        <v>46</v>
      </c>
    </row>
    <row r="20" spans="1:1" ht="12.75" customHeight="1" x14ac:dyDescent="0.35">
      <c r="A20" s="28" t="s">
        <v>47</v>
      </c>
    </row>
    <row r="21" spans="1:1" ht="12.75" customHeight="1" x14ac:dyDescent="0.35">
      <c r="A21" s="29" t="s">
        <v>48</v>
      </c>
    </row>
    <row r="22" spans="1:1" ht="12.75" customHeight="1" x14ac:dyDescent="0.35">
      <c r="A22" s="30" t="s">
        <v>49</v>
      </c>
    </row>
  </sheetData>
  <sheetProtection algorithmName="SHA-512" hashValue="8icnedNg1xm71mFOWfAjXRfjm6o+6PNkfcXlHSc/wN5Iuq4bWlRVj/Cu4i7Qko6iHXNEvNtgk8pbqje0Ef6a7Q==" saltValue="rOHZEfW7u0YXPkWfyUPHdw==" spinCount="100000" sheet="1" objects="1" scenarios="1"/>
  <mergeCells count="3">
    <mergeCell ref="A1:O1"/>
    <mergeCell ref="A11:B11"/>
    <mergeCell ref="A13:O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rightToLeft="1" zoomScaleNormal="100" workbookViewId="0">
      <selection activeCell="K13" sqref="K13"/>
    </sheetView>
  </sheetViews>
  <sheetFormatPr defaultColWidth="8.6328125" defaultRowHeight="14.5" x14ac:dyDescent="0.35"/>
  <cols>
    <col min="1" max="1" width="12" customWidth="1"/>
    <col min="2" max="2" width="18" customWidth="1"/>
    <col min="3" max="3" width="14" customWidth="1"/>
    <col min="4" max="4" width="22" customWidth="1"/>
    <col min="5" max="5" width="16" customWidth="1"/>
    <col min="6" max="6" width="14" customWidth="1"/>
    <col min="7" max="7" width="12" customWidth="1"/>
    <col min="8" max="8" width="16" customWidth="1"/>
  </cols>
  <sheetData>
    <row r="1" spans="1:8" ht="27.75" customHeight="1" x14ac:dyDescent="0.35">
      <c r="A1" s="2" t="s">
        <v>90</v>
      </c>
      <c r="B1" s="2"/>
      <c r="C1" s="2"/>
      <c r="D1" s="2"/>
      <c r="E1" s="2"/>
      <c r="F1" s="2"/>
      <c r="G1" s="2"/>
      <c r="H1" s="2"/>
    </row>
    <row r="2" spans="1:8" ht="19.5" customHeight="1" x14ac:dyDescent="0.35">
      <c r="A2" s="8" t="s">
        <v>91</v>
      </c>
      <c r="B2" s="8" t="s">
        <v>15</v>
      </c>
      <c r="C2" s="8" t="s">
        <v>92</v>
      </c>
      <c r="D2" s="8" t="s">
        <v>93</v>
      </c>
      <c r="E2" s="8" t="s">
        <v>94</v>
      </c>
      <c r="F2" s="8" t="s">
        <v>95</v>
      </c>
      <c r="G2" s="8" t="s">
        <v>25</v>
      </c>
      <c r="H2" s="8" t="s">
        <v>96</v>
      </c>
    </row>
    <row r="3" spans="1:8" ht="15.75" customHeight="1" x14ac:dyDescent="0.35">
      <c r="A3" s="9"/>
      <c r="B3" s="9" t="s">
        <v>78</v>
      </c>
      <c r="C3" s="9" t="s">
        <v>97</v>
      </c>
      <c r="D3" s="9" t="s">
        <v>98</v>
      </c>
      <c r="E3" s="9"/>
      <c r="F3" s="10">
        <v>350</v>
      </c>
      <c r="G3" s="9" t="s">
        <v>99</v>
      </c>
      <c r="H3" s="9"/>
    </row>
    <row r="4" spans="1:8" ht="15.75" customHeight="1" x14ac:dyDescent="0.35">
      <c r="A4" s="9"/>
      <c r="B4" s="9" t="s">
        <v>29</v>
      </c>
      <c r="C4" s="9" t="s">
        <v>100</v>
      </c>
      <c r="D4" s="9" t="s">
        <v>101</v>
      </c>
      <c r="E4" s="9"/>
      <c r="F4" s="10">
        <v>800</v>
      </c>
      <c r="G4" s="9" t="s">
        <v>99</v>
      </c>
      <c r="H4" s="9"/>
    </row>
    <row r="5" spans="1:8" ht="15.75" customHeight="1" x14ac:dyDescent="0.35">
      <c r="A5" s="9"/>
      <c r="B5" s="9" t="s">
        <v>79</v>
      </c>
      <c r="C5" s="9" t="s">
        <v>102</v>
      </c>
      <c r="D5" s="9" t="s">
        <v>103</v>
      </c>
      <c r="E5" s="9"/>
      <c r="F5" s="10">
        <v>450</v>
      </c>
      <c r="G5" s="9" t="s">
        <v>99</v>
      </c>
      <c r="H5" s="9"/>
    </row>
    <row r="6" spans="1:8" ht="15.75" customHeight="1" x14ac:dyDescent="0.35">
      <c r="A6" s="9"/>
      <c r="B6" s="9"/>
      <c r="C6" s="9"/>
      <c r="D6" s="9"/>
      <c r="E6" s="9"/>
      <c r="F6" s="10">
        <v>0</v>
      </c>
      <c r="G6" s="9"/>
      <c r="H6" s="9"/>
    </row>
    <row r="7" spans="1:8" ht="15.75" customHeight="1" x14ac:dyDescent="0.35">
      <c r="A7" s="9"/>
      <c r="B7" s="9"/>
      <c r="C7" s="9"/>
      <c r="D7" s="9"/>
      <c r="E7" s="9"/>
      <c r="F7" s="10">
        <v>0</v>
      </c>
      <c r="G7" s="9"/>
      <c r="H7" s="9"/>
    </row>
    <row r="8" spans="1:8" ht="15.75" customHeight="1" x14ac:dyDescent="0.35">
      <c r="A8" s="9"/>
      <c r="B8" s="9"/>
      <c r="C8" s="9"/>
      <c r="D8" s="9"/>
      <c r="E8" s="9"/>
      <c r="F8" s="10">
        <v>0</v>
      </c>
      <c r="G8" s="9"/>
      <c r="H8" s="9"/>
    </row>
    <row r="9" spans="1:8" ht="15.75" customHeight="1" x14ac:dyDescent="0.35">
      <c r="A9" s="9"/>
      <c r="B9" s="9"/>
      <c r="C9" s="9"/>
      <c r="D9" s="9"/>
      <c r="E9" s="9"/>
      <c r="F9" s="10">
        <v>0</v>
      </c>
      <c r="G9" s="9"/>
      <c r="H9" s="9"/>
    </row>
    <row r="10" spans="1:8" ht="15.75" customHeight="1" x14ac:dyDescent="0.35">
      <c r="A10" s="9"/>
      <c r="B10" s="9"/>
      <c r="C10" s="9"/>
      <c r="D10" s="9"/>
      <c r="E10" s="9"/>
      <c r="F10" s="10">
        <v>0</v>
      </c>
      <c r="G10" s="9"/>
      <c r="H10" s="9"/>
    </row>
    <row r="11" spans="1:8" ht="15.75" customHeight="1" x14ac:dyDescent="0.35">
      <c r="A11" s="9"/>
      <c r="B11" s="9"/>
      <c r="C11" s="9"/>
      <c r="D11" s="9"/>
      <c r="E11" s="9"/>
      <c r="F11" s="10">
        <v>0</v>
      </c>
      <c r="G11" s="9"/>
      <c r="H11" s="9"/>
    </row>
    <row r="12" spans="1:8" ht="15.75" customHeight="1" x14ac:dyDescent="0.35">
      <c r="A12" s="9"/>
      <c r="B12" s="9"/>
      <c r="C12" s="9"/>
      <c r="D12" s="9"/>
      <c r="E12" s="9"/>
      <c r="F12" s="10">
        <v>0</v>
      </c>
      <c r="G12" s="9"/>
      <c r="H12" s="9"/>
    </row>
    <row r="13" spans="1:8" ht="15.75" customHeight="1" x14ac:dyDescent="0.35">
      <c r="A13" s="9"/>
      <c r="B13" s="9"/>
      <c r="C13" s="9"/>
      <c r="D13" s="9"/>
      <c r="E13" s="9"/>
      <c r="F13" s="10">
        <v>0</v>
      </c>
      <c r="G13" s="9"/>
      <c r="H13" s="9"/>
    </row>
    <row r="14" spans="1:8" ht="15.75" customHeight="1" x14ac:dyDescent="0.35">
      <c r="A14" s="9"/>
      <c r="B14" s="9"/>
      <c r="C14" s="9"/>
      <c r="D14" s="9"/>
      <c r="E14" s="9"/>
      <c r="F14" s="10">
        <v>0</v>
      </c>
      <c r="G14" s="9"/>
      <c r="H14" s="9"/>
    </row>
    <row r="15" spans="1:8" ht="15.75" customHeight="1" x14ac:dyDescent="0.35">
      <c r="A15" s="9"/>
      <c r="B15" s="9"/>
      <c r="C15" s="9"/>
      <c r="D15" s="9"/>
      <c r="E15" s="9"/>
      <c r="F15" s="10">
        <v>0</v>
      </c>
      <c r="G15" s="9"/>
      <c r="H15" s="9"/>
    </row>
    <row r="16" spans="1:8" ht="15.75" customHeight="1" x14ac:dyDescent="0.35">
      <c r="A16" s="9"/>
      <c r="B16" s="9"/>
      <c r="C16" s="9"/>
      <c r="D16" s="9"/>
      <c r="E16" s="9"/>
      <c r="F16" s="10">
        <v>0</v>
      </c>
      <c r="G16" s="9"/>
      <c r="H16" s="9"/>
    </row>
    <row r="17" spans="1:8" ht="15.75" customHeight="1" x14ac:dyDescent="0.35">
      <c r="A17" s="9"/>
      <c r="B17" s="9"/>
      <c r="C17" s="9"/>
      <c r="D17" s="9"/>
      <c r="E17" s="9"/>
      <c r="F17" s="10">
        <v>0</v>
      </c>
      <c r="G17" s="9"/>
      <c r="H17" s="9"/>
    </row>
    <row r="18" spans="1:8" ht="19.5" customHeight="1" x14ac:dyDescent="0.35">
      <c r="A18" s="1" t="s">
        <v>104</v>
      </c>
      <c r="B18" s="1"/>
      <c r="C18" s="1"/>
      <c r="D18" s="1"/>
      <c r="E18" s="1"/>
      <c r="F18" s="11">
        <f>SUM(F3:F17)</f>
        <v>1600</v>
      </c>
    </row>
    <row r="20" spans="1:8" x14ac:dyDescent="0.35">
      <c r="A20" s="12" t="s">
        <v>45</v>
      </c>
    </row>
    <row r="21" spans="1:8" ht="12.75" customHeight="1" x14ac:dyDescent="0.35">
      <c r="A21" s="13" t="s">
        <v>46</v>
      </c>
    </row>
    <row r="22" spans="1:8" ht="12.75" customHeight="1" x14ac:dyDescent="0.35">
      <c r="A22" s="14" t="s">
        <v>47</v>
      </c>
    </row>
    <row r="23" spans="1:8" ht="12.75" customHeight="1" x14ac:dyDescent="0.35">
      <c r="A23" s="15" t="s">
        <v>48</v>
      </c>
    </row>
    <row r="24" spans="1:8" ht="12.75" customHeight="1" x14ac:dyDescent="0.35">
      <c r="A24" s="16" t="s">
        <v>49</v>
      </c>
    </row>
  </sheetData>
  <mergeCells count="2">
    <mergeCell ref="A1:H1"/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rightToLeft="1" topLeftCell="A11" zoomScaleNormal="100" workbookViewId="0">
      <selection activeCell="A26" sqref="A26:E27"/>
    </sheetView>
  </sheetViews>
  <sheetFormatPr defaultColWidth="8.6328125" defaultRowHeight="14.5" x14ac:dyDescent="0.35"/>
  <cols>
    <col min="1" max="1" width="38" style="18" customWidth="1"/>
    <col min="2" max="2" width="18" style="18" customWidth="1"/>
    <col min="3" max="5" width="10" style="18" customWidth="1"/>
    <col min="6" max="16384" width="8.6328125" style="18"/>
  </cols>
  <sheetData>
    <row r="1" spans="1:5" ht="27.75" customHeight="1" x14ac:dyDescent="0.35">
      <c r="A1" s="17" t="s">
        <v>105</v>
      </c>
      <c r="B1" s="17"/>
      <c r="C1" s="17"/>
      <c r="D1" s="17"/>
      <c r="E1" s="17"/>
    </row>
    <row r="3" spans="1:5" ht="21.75" customHeight="1" x14ac:dyDescent="0.35">
      <c r="A3" s="43" t="s">
        <v>106</v>
      </c>
      <c r="B3" s="43"/>
      <c r="C3" s="43"/>
      <c r="D3" s="43"/>
      <c r="E3" s="43"/>
    </row>
    <row r="4" spans="1:5" ht="16.5" customHeight="1" x14ac:dyDescent="0.35">
      <c r="A4" s="40" t="s">
        <v>107</v>
      </c>
      <c r="B4" s="21">
        <v>500000</v>
      </c>
    </row>
    <row r="5" spans="1:5" ht="16.5" customHeight="1" x14ac:dyDescent="0.35">
      <c r="A5" s="40" t="s">
        <v>108</v>
      </c>
      <c r="B5" s="21">
        <v>15000</v>
      </c>
    </row>
    <row r="6" spans="1:5" ht="16.5" customHeight="1" x14ac:dyDescent="0.35">
      <c r="A6" s="40" t="s">
        <v>109</v>
      </c>
      <c r="B6" s="21">
        <v>25000</v>
      </c>
    </row>
    <row r="7" spans="1:5" ht="16.5" customHeight="1" x14ac:dyDescent="0.35">
      <c r="A7" s="40" t="s">
        <v>56</v>
      </c>
      <c r="B7" s="21">
        <v>3500</v>
      </c>
    </row>
    <row r="8" spans="1:5" ht="16.5" customHeight="1" x14ac:dyDescent="0.35">
      <c r="A8" s="40" t="s">
        <v>110</v>
      </c>
      <c r="B8" s="44">
        <v>0.92</v>
      </c>
    </row>
    <row r="9" spans="1:5" ht="16.5" customHeight="1" x14ac:dyDescent="0.35">
      <c r="A9" s="40" t="s">
        <v>111</v>
      </c>
      <c r="B9" s="44">
        <v>0.05</v>
      </c>
    </row>
    <row r="10" spans="1:5" ht="16.5" customHeight="1" x14ac:dyDescent="0.35">
      <c r="A10" s="40" t="s">
        <v>112</v>
      </c>
      <c r="B10" s="21">
        <v>6000</v>
      </c>
    </row>
    <row r="11" spans="1:5" ht="16.5" customHeight="1" x14ac:dyDescent="0.35">
      <c r="A11" s="40" t="s">
        <v>113</v>
      </c>
      <c r="B11" s="21">
        <v>2000</v>
      </c>
    </row>
    <row r="12" spans="1:5" ht="16.5" customHeight="1" x14ac:dyDescent="0.35">
      <c r="A12" s="40" t="s">
        <v>114</v>
      </c>
      <c r="B12" s="21">
        <v>3000</v>
      </c>
    </row>
    <row r="13" spans="1:5" ht="16.5" customHeight="1" x14ac:dyDescent="0.35">
      <c r="A13" s="40" t="s">
        <v>115</v>
      </c>
      <c r="B13" s="44">
        <v>0.04</v>
      </c>
    </row>
    <row r="15" spans="1:5" ht="21.75" customHeight="1" x14ac:dyDescent="0.35">
      <c r="A15" s="24" t="s">
        <v>116</v>
      </c>
      <c r="B15" s="24"/>
      <c r="C15" s="24"/>
      <c r="D15" s="24"/>
      <c r="E15" s="24"/>
    </row>
    <row r="16" spans="1:5" ht="18" customHeight="1" x14ac:dyDescent="0.35">
      <c r="A16" s="25" t="s">
        <v>117</v>
      </c>
      <c r="B16" s="35">
        <f>B4+B5+B6</f>
        <v>540000</v>
      </c>
    </row>
    <row r="17" spans="1:5" ht="18" customHeight="1" x14ac:dyDescent="0.35">
      <c r="A17" s="25" t="s">
        <v>118</v>
      </c>
      <c r="B17" s="35">
        <f>B7*12*B8</f>
        <v>38640</v>
      </c>
    </row>
    <row r="18" spans="1:5" ht="18" customHeight="1" x14ac:dyDescent="0.35">
      <c r="A18" s="25" t="s">
        <v>119</v>
      </c>
      <c r="B18" s="35">
        <f>B17*B9</f>
        <v>1932</v>
      </c>
    </row>
    <row r="19" spans="1:5" ht="18" customHeight="1" x14ac:dyDescent="0.35">
      <c r="A19" s="25" t="s">
        <v>120</v>
      </c>
      <c r="B19" s="35">
        <f>B18+B10+B11+B12</f>
        <v>12932</v>
      </c>
    </row>
    <row r="20" spans="1:5" ht="18" customHeight="1" x14ac:dyDescent="0.35">
      <c r="A20" s="25" t="s">
        <v>121</v>
      </c>
      <c r="B20" s="35">
        <f>B17-B19</f>
        <v>25708</v>
      </c>
    </row>
    <row r="21" spans="1:5" ht="18" customHeight="1" x14ac:dyDescent="0.35">
      <c r="A21" s="25" t="s">
        <v>122</v>
      </c>
      <c r="B21" s="36">
        <f>IF(B4=0,0,B17/B4)</f>
        <v>7.7280000000000001E-2</v>
      </c>
    </row>
    <row r="22" spans="1:5" ht="18" customHeight="1" x14ac:dyDescent="0.35">
      <c r="A22" s="25" t="s">
        <v>123</v>
      </c>
      <c r="B22" s="36">
        <f>IF(B16=0,0,B20/B16)</f>
        <v>4.7607407407407411E-2</v>
      </c>
    </row>
    <row r="23" spans="1:5" ht="18" customHeight="1" x14ac:dyDescent="0.35">
      <c r="A23" s="25" t="s">
        <v>124</v>
      </c>
      <c r="B23" s="36">
        <f>IF(B4=0,0,B20/B4)</f>
        <v>5.1416000000000003E-2</v>
      </c>
    </row>
    <row r="24" spans="1:5" ht="18" customHeight="1" x14ac:dyDescent="0.35">
      <c r="A24" s="25" t="s">
        <v>125</v>
      </c>
      <c r="B24" s="35">
        <f>B4*(1+B13)^5</f>
        <v>608326.45120000013</v>
      </c>
    </row>
    <row r="25" spans="1:5" ht="18" customHeight="1" x14ac:dyDescent="0.35">
      <c r="A25" s="25" t="s">
        <v>126</v>
      </c>
      <c r="B25" s="36">
        <f>IF(B16=0,0,(B20*5+B24-B4)/B16)</f>
        <v>0.43864157629629652</v>
      </c>
    </row>
    <row r="26" spans="1:5" ht="25.5" customHeight="1" x14ac:dyDescent="0.35">
      <c r="A26" s="45" t="str">
        <f>IF(B23&gt;=0.08,"✅ عقار ممتاز – Cap Rate "&amp;TEXT(B23,"0.0%"),IF(B23&gt;=0.06,"👍 عقار جيد – Cap Rate "&amp;TEXT(B23,"0.0%"),IF(B23&gt;=0.04,"⚖️ مقبول – Cap Rate "&amp;TEXT(B23,"0.0%"),"⚠️ عائد منخفض – Cap Rate "&amp;TEXT(B23,"0.0%"))))</f>
        <v>⚖️ مقبول – Cap Rate 5.1%</v>
      </c>
      <c r="B26" s="45"/>
      <c r="C26" s="45"/>
      <c r="D26" s="45"/>
      <c r="E26" s="45"/>
    </row>
    <row r="27" spans="1:5" x14ac:dyDescent="0.35">
      <c r="A27" s="45"/>
      <c r="B27" s="45"/>
      <c r="C27" s="45"/>
      <c r="D27" s="45"/>
      <c r="E27" s="45"/>
    </row>
    <row r="29" spans="1:5" x14ac:dyDescent="0.35">
      <c r="A29" s="26" t="s">
        <v>45</v>
      </c>
    </row>
    <row r="30" spans="1:5" ht="12.75" customHeight="1" x14ac:dyDescent="0.35">
      <c r="A30" s="27" t="s">
        <v>46</v>
      </c>
    </row>
    <row r="31" spans="1:5" ht="12.75" customHeight="1" x14ac:dyDescent="0.35">
      <c r="A31" s="28" t="s">
        <v>47</v>
      </c>
    </row>
    <row r="32" spans="1:5" ht="12.75" customHeight="1" x14ac:dyDescent="0.35">
      <c r="A32" s="29" t="s">
        <v>48</v>
      </c>
    </row>
    <row r="33" spans="1:1" ht="12.75" customHeight="1" x14ac:dyDescent="0.35">
      <c r="A33" s="30" t="s">
        <v>49</v>
      </c>
    </row>
  </sheetData>
  <sheetProtection algorithmName="SHA-512" hashValue="D2byee4rf+3L4v6S6+3+uuPcMpblj+Hg7euP6iRoJ8OyEBeZLspAwf6y2fGZjGYFICyjSyC296S/b84NT08bZQ==" saltValue="p2vRAwL3onboJO8YuILNVA==" spinCount="100000" sheet="1" objects="1" scenarios="1"/>
  <mergeCells count="4">
    <mergeCell ref="A1:E1"/>
    <mergeCell ref="A3:E3"/>
    <mergeCell ref="A15:E15"/>
    <mergeCell ref="A26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محفظة العقارات</vt:lpstr>
      <vt:lpstr>سجل المستأجرين</vt:lpstr>
      <vt:lpstr>تحصيل الإيجارات</vt:lpstr>
      <vt:lpstr>سجل الصيانة</vt:lpstr>
      <vt:lpstr>تحليل عائد العقار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2026-06-12T07:52:08Z</dcterms:created>
  <dcterms:modified xsi:type="dcterms:W3CDTF">2026-06-13T17:28:24Z</dcterms:modified>
  <dc:language>en-US</dc:language>
</cp:coreProperties>
</file>