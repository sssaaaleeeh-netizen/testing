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bdul\Downloads\مجلد جديد\"/>
    </mc:Choice>
  </mc:AlternateContent>
  <xr:revisionPtr revIDLastSave="0" documentId="13_ncr:1_{77468C09-3BF0-4F02-A561-491878F818A6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الغلاف" sheetId="1" r:id="rId1"/>
    <sheet name="التحقق من الفكرة" sheetId="2" r:id="rId2"/>
    <sheet name="خارطة الطريق 12 شهراً" sheetId="3" r:id="rId3"/>
    <sheet name="Unit Economics" sheetId="4" r:id="rId4"/>
    <sheet name="نموذج التمويل" sheetId="5" r:id="rId5"/>
    <sheet name="OKRs وKPIs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1" i="6" l="1"/>
  <c r="F20" i="6"/>
  <c r="F19" i="6"/>
  <c r="F18" i="6"/>
  <c r="F17" i="6"/>
  <c r="F16" i="6"/>
  <c r="B22" i="5"/>
  <c r="H19" i="5"/>
  <c r="B19" i="5"/>
  <c r="B23" i="5" s="1"/>
  <c r="B24" i="5" s="1"/>
  <c r="H18" i="5"/>
  <c r="G18" i="5"/>
  <c r="F18" i="5"/>
  <c r="E18" i="5"/>
  <c r="D18" i="5"/>
  <c r="C18" i="5"/>
  <c r="H17" i="5"/>
  <c r="G17" i="5"/>
  <c r="F17" i="5"/>
  <c r="E17" i="5"/>
  <c r="D17" i="5"/>
  <c r="C17" i="5"/>
  <c r="H16" i="5"/>
  <c r="G16" i="5"/>
  <c r="F16" i="5"/>
  <c r="E16" i="5"/>
  <c r="D16" i="5"/>
  <c r="C16" i="5"/>
  <c r="H15" i="5"/>
  <c r="G15" i="5"/>
  <c r="F15" i="5"/>
  <c r="E15" i="5"/>
  <c r="D15" i="5"/>
  <c r="C15" i="5"/>
  <c r="H14" i="5"/>
  <c r="G14" i="5"/>
  <c r="F14" i="5"/>
  <c r="E14" i="5"/>
  <c r="D14" i="5"/>
  <c r="C14" i="5"/>
  <c r="H13" i="5"/>
  <c r="G13" i="5"/>
  <c r="G19" i="5" s="1"/>
  <c r="F13" i="5"/>
  <c r="F19" i="5" s="1"/>
  <c r="E13" i="5"/>
  <c r="E19" i="5" s="1"/>
  <c r="D13" i="5"/>
  <c r="D19" i="5" s="1"/>
  <c r="C13" i="5"/>
  <c r="C19" i="5" s="1"/>
  <c r="B9" i="5"/>
  <c r="B21" i="4"/>
  <c r="B18" i="4"/>
  <c r="B14" i="4"/>
  <c r="B13" i="4"/>
  <c r="B7" i="4"/>
  <c r="B17" i="4" s="1"/>
  <c r="A22" i="4" s="1"/>
  <c r="D17" i="2"/>
  <c r="D16" i="2"/>
  <c r="D15" i="2"/>
  <c r="D14" i="2"/>
  <c r="D13" i="2"/>
  <c r="D12" i="2"/>
  <c r="D18" i="2" s="1"/>
  <c r="A19" i="2" s="1"/>
</calcChain>
</file>

<file path=xl/sharedStrings.xml><?xml version="1.0" encoding="utf-8"?>
<sst xmlns="http://schemas.openxmlformats.org/spreadsheetml/2006/main" count="209" uniqueCount="163">
  <si>
    <t>حزمة أدوات تخطيط المشاريع الناشئة</t>
  </si>
  <si>
    <t>من الفكرة إلى الإطلاق – كل ما يحتاجه رائد الأعمال السعودي</t>
  </si>
  <si>
    <t>💡 التحقق من الفكرة</t>
  </si>
  <si>
    <t>🗺️ خريطة الطريق</t>
  </si>
  <si>
    <t>💰 نموذج التمويل</t>
  </si>
  <si>
    <t>اختبر فكرتك قبل الاستثمار</t>
  </si>
  <si>
    <t>خطة إطلاق 12 شهراً</t>
  </si>
  <si>
    <t>رأس المال والتدفق النقدي</t>
  </si>
  <si>
    <t>📊 Unit Economics</t>
  </si>
  <si>
    <t>🎯 OKRs وKPIs</t>
  </si>
  <si>
    <t>📣 خطة GTM</t>
  </si>
  <si>
    <t>CAC وLTV والربحية</t>
  </si>
  <si>
    <t>أهداف قابلة للقياس</t>
  </si>
  <si>
    <t>الوصول للسوق</t>
  </si>
  <si>
    <t>مصفوفة التحقق من فكرة المشروع الناشئ</t>
  </si>
  <si>
    <t>وصف الفكرة</t>
  </si>
  <si>
    <t>اسم المشروع</t>
  </si>
  <si>
    <t>أدخل هنا...</t>
  </si>
  <si>
    <t>المشكلة التي تحلها</t>
  </si>
  <si>
    <t>حلك المقترح</t>
  </si>
  <si>
    <t>شريحة العملاء المستهدفة</t>
  </si>
  <si>
    <t>كيف ستجني المال؟</t>
  </si>
  <si>
    <t>بطاقة تقييم الفكرة (0-10 لكل معيار)</t>
  </si>
  <si>
    <t>المعيار</t>
  </si>
  <si>
    <t>درجتك (0-10)</t>
  </si>
  <si>
    <t>الوزن %</t>
  </si>
  <si>
    <t>الدرجة الموزونة</t>
  </si>
  <si>
    <t>التفسير</t>
  </si>
  <si>
    <t>حجم السوق (TAM)</t>
  </si>
  <si>
    <t>هل السوق كبير بما يكفي؟</t>
  </si>
  <si>
    <t>حدة المشكلة</t>
  </si>
  <si>
    <t>هل العملاء يعانون فعلاً؟</t>
  </si>
  <si>
    <t>تميز الحل</t>
  </si>
  <si>
    <t>هل حلك أفضل من البدائل؟</t>
  </si>
  <si>
    <t>قابلية التوسع</t>
  </si>
  <si>
    <t>هل يمكن النمو السريع؟</t>
  </si>
  <si>
    <t>هامش الربح المتوقع</t>
  </si>
  <si>
    <t>هل النموذج مربح؟</t>
  </si>
  <si>
    <t>سهولة الوصول للعملاء</t>
  </si>
  <si>
    <t>هل يمكنك الوصول لهم؟</t>
  </si>
  <si>
    <t>الدرجة الكلية (من 10)</t>
  </si>
  <si>
    <t>تحليل المنافسين</t>
  </si>
  <si>
    <t>المنافس</t>
  </si>
  <si>
    <t>نقاط قوته</t>
  </si>
  <si>
    <t>نقاط ضعفه</t>
  </si>
  <si>
    <t>سعره</t>
  </si>
  <si>
    <t>حصة السوق</t>
  </si>
  <si>
    <t>تهديده لك</t>
  </si>
  <si>
    <t>🔑 دليل الألوان:</t>
  </si>
  <si>
    <t xml:space="preserve">  خلايا الإدخال – أدخل بياناتك</t>
  </si>
  <si>
    <t xml:space="preserve">  خلايا محسوبة – لا تعدّل</t>
  </si>
  <si>
    <t xml:space="preserve">  نتائج رئيسية</t>
  </si>
  <si>
    <t xml:space="preserve">  تحذير / سلبي</t>
  </si>
  <si>
    <t>خارطة طريق المشروع – 12 شهراً</t>
  </si>
  <si>
    <t>المبادرة / المهمة</t>
  </si>
  <si>
    <t>الفئة</t>
  </si>
  <si>
    <t>ينا</t>
  </si>
  <si>
    <t>فبر</t>
  </si>
  <si>
    <t>مار</t>
  </si>
  <si>
    <t>أبر</t>
  </si>
  <si>
    <t>ماي</t>
  </si>
  <si>
    <t>يون</t>
  </si>
  <si>
    <t>يول</t>
  </si>
  <si>
    <t>أغس</t>
  </si>
  <si>
    <t>سبت</t>
  </si>
  <si>
    <t>أكت</t>
  </si>
  <si>
    <t>نوف</t>
  </si>
  <si>
    <t>ديس</t>
  </si>
  <si>
    <t>الأولوية</t>
  </si>
  <si>
    <t>تسجيل المنشأة وفتح حساب بنكي</t>
  </si>
  <si>
    <t>تأسيس</t>
  </si>
  <si>
    <t>▶</t>
  </si>
  <si>
    <t>عالية</t>
  </si>
  <si>
    <t>بناء MVP (الحد الأدنى من المنتج)</t>
  </si>
  <si>
    <t>منتج</t>
  </si>
  <si>
    <t>اختبار مع أول 10 عملاء</t>
  </si>
  <si>
    <t>مبيعات</t>
  </si>
  <si>
    <t>إطلاق موقع ومنصات التواصل</t>
  </si>
  <si>
    <t>تسويق</t>
  </si>
  <si>
    <t>أول 100 عميل</t>
  </si>
  <si>
    <t>استئجار أول موظف</t>
  </si>
  <si>
    <t>HR</t>
  </si>
  <si>
    <t>الوصول لنقطة التعادل</t>
  </si>
  <si>
    <t>مالي</t>
  </si>
  <si>
    <t>أول جولة تمويل (إذا لزم)</t>
  </si>
  <si>
    <t>تمويل</t>
  </si>
  <si>
    <t>توسع جغرافي / منتج جديد</t>
  </si>
  <si>
    <t>نمو</t>
  </si>
  <si>
    <t>حاسبة Unit Economics للمشروع الناشئ</t>
  </si>
  <si>
    <t>تكلفة اكتساب العميل (CAC)</t>
  </si>
  <si>
    <t>إجمالي مصاريف التسويق الشهرية (ريال)</t>
  </si>
  <si>
    <t>إجمالي مصاريف المبيعات الشهرية (ريال)</t>
  </si>
  <si>
    <t>عدد العملاء الجدد الشهريين</t>
  </si>
  <si>
    <t>⭐ تكلفة اكتساب العميل CAC (ريال)</t>
  </si>
  <si>
    <t>قيمة عمر العميل (LTV)</t>
  </si>
  <si>
    <t>متوسط الإيراد الشهري من العميل (ريال)</t>
  </si>
  <si>
    <t>هامش الربح الإجمالي %</t>
  </si>
  <si>
    <t>معدل الاحتفاظ بالعميل الشهري %</t>
  </si>
  <si>
    <t>⭐ قيمة عمر العميل LTV (ريال)</t>
  </si>
  <si>
    <t>عمر العميل المتوقع (شهر)</t>
  </si>
  <si>
    <t>⭐ نسب الصحة التجارية</t>
  </si>
  <si>
    <t>نسبة LTV:CAC (يجب أن تكون &gt; 3:1)</t>
  </si>
  <si>
    <t>فترة استرداد CAC (شهور)</t>
  </si>
  <si>
    <t>معدل زخم الإيراد (MoM Growth %)</t>
  </si>
  <si>
    <t>نسبة الحرق الشهري (Burn Rate) (ريال)</t>
  </si>
  <si>
    <t>أشهر الوقود المتبقي (Runway)</t>
  </si>
  <si>
    <t>نموذج تمويل المشروع الناشئ وخطة الإنفاق</t>
  </si>
  <si>
    <t>مصادر التمويل</t>
  </si>
  <si>
    <t>تمويل ذاتي (Bootstrap) (ريال)</t>
  </si>
  <si>
    <t>قروض بنكية / تمويل حكومي (ريال)</t>
  </si>
  <si>
    <t>مستثمرون ملائكة (ريال)</t>
  </si>
  <si>
    <t>برامج دعم (منح، مسرّعات) (ريال)</t>
  </si>
  <si>
    <t>إيرادات مبكرة (ريال)</t>
  </si>
  <si>
    <t>إجمالي التمويل المتاح (ريال)</t>
  </si>
  <si>
    <t>خطة الإنفاق (18 شهراً)</t>
  </si>
  <si>
    <t>بند الإنفاق</t>
  </si>
  <si>
    <t>شهرياً (ريال)</t>
  </si>
  <si>
    <t>ش1</t>
  </si>
  <si>
    <t>ش2</t>
  </si>
  <si>
    <t>ش3</t>
  </si>
  <si>
    <t>ش4</t>
  </si>
  <si>
    <t>ش5</t>
  </si>
  <si>
    <t>ش6</t>
  </si>
  <si>
    <t>الرواتب والعمالة</t>
  </si>
  <si>
    <t>الإيجار والمرافق</t>
  </si>
  <si>
    <t>التسويق والإعلان</t>
  </si>
  <si>
    <t>التطوير والتكنولوجيا</t>
  </si>
  <si>
    <t>المصاريف الإدارية</t>
  </si>
  <si>
    <t>الاحتياطي والطوارئ</t>
  </si>
  <si>
    <t>إجمالي الإنفاق الشهري</t>
  </si>
  <si>
    <t>حساب المدرج (Runway)</t>
  </si>
  <si>
    <t>إجمالي التمويل (ريال)</t>
  </si>
  <si>
    <t>معدل الحرق الشهري (ريال)</t>
  </si>
  <si>
    <t>⭐ المدرج المتبقي (شهور)</t>
  </si>
  <si>
    <t>إطار OKRs والمؤشرات الرئيسية للمشروع الناشئ</t>
  </si>
  <si>
    <t>OKRs الربعية (الأهداف والنتائج الرئيسية)</t>
  </si>
  <si>
    <t>الهدف (Objective)</t>
  </si>
  <si>
    <t>النتيجة الرئيسية (Key Result)</t>
  </si>
  <si>
    <t>الهدف الرقمي</t>
  </si>
  <si>
    <t>الوضع الحالي</t>
  </si>
  <si>
    <t>تحقيق أول 100 عميل</t>
  </si>
  <si>
    <t>الوصول لـ 100 عميل مدفوع</t>
  </si>
  <si>
    <t>تحقيق معدل احتفاظ 85%</t>
  </si>
  <si>
    <t>الحصول على 50 تقييم 5 نجوم</t>
  </si>
  <si>
    <t>بناء فريق أساسي</t>
  </si>
  <si>
    <t>توظيف 3 موظفين أساسيين</t>
  </si>
  <si>
    <t>إطلاق برنامج تدريب داخلي</t>
  </si>
  <si>
    <t>تحقيق الجدوى المالية</t>
  </si>
  <si>
    <t>تحقيق هامش ربح 20%</t>
  </si>
  <si>
    <t>لوحة KPIs الأسبوعية</t>
  </si>
  <si>
    <t>المؤشر</t>
  </si>
  <si>
    <t>الأسبوع 1</t>
  </si>
  <si>
    <t>الأسبوع 2</t>
  </si>
  <si>
    <t>الأسبوع 3</t>
  </si>
  <si>
    <t>الأسبوع 4</t>
  </si>
  <si>
    <t>الشهري</t>
  </si>
  <si>
    <t>الهدف</t>
  </si>
  <si>
    <t>الزيارات الأسبوعية</t>
  </si>
  <si>
    <t>العملاء المحتملون (Leads)</t>
  </si>
  <si>
    <t>التحويلات (Conversions)</t>
  </si>
  <si>
    <t>الإيراد الأسبوعي (ريال)</t>
  </si>
  <si>
    <t>معدل الاحتفاظ الأسبوعي %</t>
  </si>
  <si>
    <t>NPS (رضا العملاء)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</si>
</sst>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21" x14ac:knownFonts="1">
    <font>
      <sz val="11"/>
      <color theme="1"/>
      <name val="Calibri"/>
      <family val="2"/>
      <charset val="1"/>
    </font>
    <font>
      <b/>
      <sz val="22"/>
      <color rgb="FFFFFFFF"/>
      <name val="Arial"/>
      <charset val="1"/>
    </font>
    <font>
      <sz val="11"/>
      <color rgb="FFC9A84C"/>
      <name val="Arial"/>
      <charset val="1"/>
    </font>
    <font>
      <b/>
      <sz val="10"/>
      <color rgb="FFFFFFFF"/>
      <name val="Arial"/>
      <charset val="1"/>
    </font>
    <font>
      <sz val="9"/>
      <color rgb="FF1F3864"/>
      <name val="Arial"/>
      <charset val="1"/>
    </font>
    <font>
      <b/>
      <sz val="13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1F3864"/>
      <name val="Arial"/>
      <charset val="1"/>
    </font>
    <font>
      <sz val="10"/>
      <color rgb="FF0000FF"/>
      <name val="Arial"/>
      <charset val="1"/>
    </font>
    <font>
      <b/>
      <sz val="9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375623"/>
      <name val="Arial"/>
      <charset val="1"/>
    </font>
    <font>
      <b/>
      <sz val="12"/>
      <color rgb="FF1F3864"/>
      <name val="Arial"/>
      <charset val="1"/>
    </font>
    <font>
      <b/>
      <sz val="9"/>
      <color rgb="FF1F3864"/>
      <name val="Arial"/>
      <charset val="1"/>
    </font>
    <font>
      <sz val="8"/>
      <color rgb="FF0000FF"/>
      <name val="Arial"/>
      <charset val="1"/>
    </font>
    <font>
      <sz val="8"/>
      <color rgb="FF000000"/>
      <name val="Arial"/>
      <charset val="1"/>
    </font>
    <font>
      <sz val="8"/>
      <color rgb="FF375623"/>
      <name val="Arial"/>
      <charset val="1"/>
    </font>
    <font>
      <sz val="8"/>
      <color rgb="FF7B0000"/>
      <name val="Arial"/>
      <charset val="1"/>
    </font>
    <font>
      <b/>
      <sz val="8"/>
      <color rgb="FFFFFFFF"/>
      <name val="Arial"/>
      <charset val="1"/>
    </font>
    <font>
      <b/>
      <sz val="11"/>
      <color rgb="FF1F3864"/>
      <name val="Arial"/>
      <charset val="1"/>
    </font>
    <font>
      <sz val="10"/>
      <color rgb="FF1F3864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C9A84C"/>
        <bgColor rgb="FFFF9900"/>
      </patternFill>
    </fill>
    <fill>
      <patternFill patternType="solid">
        <fgColor rgb="FF2E5FA3"/>
        <bgColor rgb="FF3366FF"/>
      </patternFill>
    </fill>
    <fill>
      <patternFill patternType="solid">
        <fgColor rgb="FFDEEAF1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DEEAF1"/>
      </patternFill>
    </fill>
    <fill>
      <patternFill patternType="solid">
        <fgColor rgb="FFFCE4D6"/>
        <bgColor rgb="FFF2F2F2"/>
      </patternFill>
    </fill>
    <fill>
      <patternFill patternType="solid">
        <fgColor rgb="FFBDD7EE"/>
        <bgColor rgb="FF99CCFF"/>
      </patternFill>
    </fill>
  </fills>
  <borders count="6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/>
      <top style="medium">
        <color rgb="FF1F38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9" fillId="2" borderId="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49" fontId="8" fillId="5" borderId="2" xfId="0" applyNumberFormat="1" applyFont="1" applyFill="1" applyBorder="1" applyAlignment="1">
      <alignment horizontal="right" vertical="center"/>
    </xf>
    <xf numFmtId="0" fontId="18" fillId="4" borderId="2" xfId="0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left" vertical="center" wrapText="1"/>
    </xf>
    <xf numFmtId="0" fontId="0" fillId="6" borderId="2" xfId="0" applyFill="1" applyBorder="1"/>
    <xf numFmtId="0" fontId="5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6" fillId="4" borderId="2" xfId="0" applyFont="1" applyFill="1" applyBorder="1" applyAlignment="1" applyProtection="1">
      <alignment horizontal="center" vertical="center" wrapText="1"/>
      <protection locked="0"/>
    </xf>
    <xf numFmtId="0" fontId="7" fillId="5" borderId="2" xfId="0" applyFont="1" applyFill="1" applyBorder="1" applyAlignment="1" applyProtection="1">
      <alignment horizontal="left" vertical="center" wrapText="1"/>
      <protection locked="0"/>
    </xf>
    <xf numFmtId="0" fontId="8" fillId="6" borderId="1" xfId="0" applyFont="1" applyFill="1" applyBorder="1" applyAlignment="1" applyProtection="1">
      <alignment horizontal="left" vertical="center" wrapText="1"/>
      <protection locked="0"/>
    </xf>
    <xf numFmtId="0" fontId="9" fillId="2" borderId="2" xfId="0" applyFont="1" applyFill="1" applyBorder="1" applyAlignment="1" applyProtection="1">
      <alignment horizontal="center" vertical="center" wrapText="1"/>
      <protection locked="0"/>
    </xf>
    <xf numFmtId="0" fontId="9" fillId="2" borderId="2" xfId="0" applyFont="1" applyFill="1" applyBorder="1" applyAlignment="1" applyProtection="1">
      <alignment horizontal="center" vertical="center" wrapText="1"/>
      <protection locked="0"/>
    </xf>
    <xf numFmtId="0" fontId="10" fillId="6" borderId="2" xfId="0" applyFont="1" applyFill="1" applyBorder="1" applyAlignment="1" applyProtection="1">
      <alignment horizontal="left" vertical="center" wrapText="1"/>
      <protection locked="0"/>
    </xf>
    <xf numFmtId="1" fontId="8" fillId="5" borderId="2" xfId="0" applyNumberFormat="1" applyFont="1" applyFill="1" applyBorder="1" applyAlignment="1" applyProtection="1">
      <alignment horizontal="right" vertical="center"/>
      <protection locked="0"/>
    </xf>
    <xf numFmtId="9" fontId="8" fillId="5" borderId="2" xfId="0" applyNumberFormat="1" applyFont="1" applyFill="1" applyBorder="1" applyAlignment="1" applyProtection="1">
      <alignment horizontal="right" vertical="center"/>
      <protection locked="0"/>
    </xf>
    <xf numFmtId="0" fontId="10" fillId="7" borderId="1" xfId="0" applyFont="1" applyFill="1" applyBorder="1" applyAlignment="1" applyProtection="1">
      <alignment horizontal="left" vertical="center" wrapText="1"/>
      <protection locked="0"/>
    </xf>
    <xf numFmtId="0" fontId="3" fillId="4" borderId="2" xfId="0" applyFont="1" applyFill="1" applyBorder="1" applyAlignment="1" applyProtection="1">
      <alignment horizontal="center" vertical="center" wrapText="1"/>
      <protection locked="0"/>
    </xf>
    <xf numFmtId="49" fontId="8" fillId="5" borderId="2" xfId="0" applyNumberFormat="1" applyFont="1" applyFill="1" applyBorder="1" applyAlignment="1" applyProtection="1">
      <alignment horizontal="right" vertical="center"/>
      <protection locked="0"/>
    </xf>
    <xf numFmtId="0" fontId="13" fillId="0" borderId="0" xfId="0" applyFont="1" applyProtection="1">
      <protection locked="0"/>
    </xf>
    <xf numFmtId="0" fontId="14" fillId="5" borderId="2" xfId="0" applyFont="1" applyFill="1" applyBorder="1" applyProtection="1">
      <protection locked="0"/>
    </xf>
    <xf numFmtId="0" fontId="15" fillId="7" borderId="2" xfId="0" applyFont="1" applyFill="1" applyBorder="1" applyProtection="1">
      <protection locked="0"/>
    </xf>
    <xf numFmtId="0" fontId="16" fillId="8" borderId="2" xfId="0" applyFont="1" applyFill="1" applyBorder="1" applyProtection="1">
      <protection locked="0"/>
    </xf>
    <xf numFmtId="0" fontId="17" fillId="9" borderId="2" xfId="0" applyFont="1" applyFill="1" applyBorder="1" applyProtection="1">
      <protection locked="0"/>
    </xf>
    <xf numFmtId="2" fontId="10" fillId="7" borderId="2" xfId="0" applyNumberFormat="1" applyFont="1" applyFill="1" applyBorder="1" applyAlignment="1" applyProtection="1">
      <alignment horizontal="right" vertical="center"/>
      <protection locked="0" hidden="1"/>
    </xf>
    <xf numFmtId="2" fontId="11" fillId="8" borderId="3" xfId="0" applyNumberFormat="1" applyFont="1" applyFill="1" applyBorder="1" applyAlignment="1" applyProtection="1">
      <alignment horizontal="right" vertical="center"/>
      <protection locked="0" hidden="1"/>
    </xf>
    <xf numFmtId="0" fontId="12" fillId="8" borderId="4" xfId="0" applyFont="1" applyFill="1" applyBorder="1" applyAlignment="1" applyProtection="1">
      <alignment horizontal="center" vertical="center" wrapText="1"/>
      <protection locked="0" hidden="1"/>
    </xf>
    <xf numFmtId="3" fontId="8" fillId="5" borderId="2" xfId="0" applyNumberFormat="1" applyFont="1" applyFill="1" applyBorder="1" applyAlignment="1" applyProtection="1">
      <alignment horizontal="right" vertical="center"/>
      <protection locked="0"/>
    </xf>
    <xf numFmtId="164" fontId="8" fillId="5" borderId="2" xfId="0" applyNumberFormat="1" applyFont="1" applyFill="1" applyBorder="1" applyAlignment="1" applyProtection="1">
      <alignment horizontal="right" vertical="center"/>
      <protection locked="0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4" fontId="11" fillId="8" borderId="3" xfId="0" applyNumberFormat="1" applyFont="1" applyFill="1" applyBorder="1" applyAlignment="1" applyProtection="1">
      <alignment horizontal="right" vertical="center"/>
      <protection locked="0" hidden="1"/>
    </xf>
    <xf numFmtId="165" fontId="10" fillId="7" borderId="2" xfId="0" applyNumberFormat="1" applyFont="1" applyFill="1" applyBorder="1" applyAlignment="1" applyProtection="1">
      <alignment horizontal="right" vertical="center"/>
      <protection locked="0" hidden="1"/>
    </xf>
    <xf numFmtId="165" fontId="11" fillId="8" borderId="3" xfId="0" applyNumberFormat="1" applyFont="1" applyFill="1" applyBorder="1" applyAlignment="1" applyProtection="1">
      <alignment horizontal="right" vertical="center"/>
      <protection locked="0" hidden="1"/>
    </xf>
    <xf numFmtId="0" fontId="19" fillId="8" borderId="5" xfId="0" applyFont="1" applyFill="1" applyBorder="1" applyAlignment="1" applyProtection="1">
      <alignment horizontal="center" vertical="center" wrapText="1"/>
      <protection locked="0" hidden="1"/>
    </xf>
    <xf numFmtId="0" fontId="3" fillId="4" borderId="2" xfId="0" applyFont="1" applyFill="1" applyBorder="1" applyAlignment="1" applyProtection="1">
      <alignment horizontal="center" vertical="center" wrapText="1"/>
      <protection locked="0"/>
    </xf>
    <xf numFmtId="0" fontId="18" fillId="4" borderId="2" xfId="0" applyFont="1" applyFill="1" applyBorder="1" applyAlignment="1" applyProtection="1">
      <alignment horizontal="center" vertical="center" wrapText="1"/>
      <protection locked="0"/>
    </xf>
    <xf numFmtId="3" fontId="10" fillId="7" borderId="2" xfId="0" applyNumberFormat="1" applyFont="1" applyFill="1" applyBorder="1" applyAlignment="1" applyProtection="1">
      <alignment horizontal="right" vertical="center"/>
      <protection locked="0" hidden="1"/>
    </xf>
    <xf numFmtId="1" fontId="11" fillId="8" borderId="3" xfId="0" applyNumberFormat="1" applyFont="1" applyFill="1" applyBorder="1" applyAlignment="1" applyProtection="1">
      <alignment horizontal="right" vertical="center"/>
      <protection locked="0" hidden="1"/>
    </xf>
    <xf numFmtId="0" fontId="10" fillId="6" borderId="1" xfId="0" applyFont="1" applyFill="1" applyBorder="1" applyAlignment="1" applyProtection="1">
      <alignment horizontal="left" vertical="center" wrapText="1"/>
      <protection locked="0"/>
    </xf>
    <xf numFmtId="0" fontId="20" fillId="6" borderId="2" xfId="0" applyFont="1" applyFill="1" applyBorder="1" applyAlignment="1" applyProtection="1">
      <alignment horizontal="left" vertical="center" wrapText="1"/>
      <protection locked="0"/>
    </xf>
    <xf numFmtId="0" fontId="9" fillId="3" borderId="2" xfId="0" applyFont="1" applyFill="1" applyBorder="1" applyAlignment="1" applyProtection="1">
      <alignment horizontal="center" vertical="center" wrapText="1"/>
      <protection locked="0"/>
    </xf>
  </cellXfs>
  <cellStyles count="1">
    <cellStyle name="عادي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EEAF1"/>
      <rgbColor rgb="FF660066"/>
      <rgbColor rgb="FFFF8080"/>
      <rgbColor rgb="FF2E5FA3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C9A84C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rightToLeft="1" tabSelected="1" zoomScaleNormal="100" workbookViewId="0">
      <selection sqref="A1:J5"/>
    </sheetView>
  </sheetViews>
  <sheetFormatPr defaultColWidth="8.6328125" defaultRowHeight="14.5" x14ac:dyDescent="0.35"/>
  <cols>
    <col min="1" max="10" width="8.453125" customWidth="1"/>
  </cols>
  <sheetData>
    <row r="1" spans="1:10" ht="25.5" customHeight="1" x14ac:dyDescent="0.3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customHeight="1" x14ac:dyDescent="0.35">
      <c r="A2" s="5"/>
      <c r="B2" s="5"/>
      <c r="C2" s="5"/>
      <c r="D2" s="5"/>
      <c r="E2" s="5"/>
      <c r="F2" s="5"/>
      <c r="G2" s="5"/>
      <c r="H2" s="5"/>
      <c r="I2" s="5"/>
      <c r="J2" s="5"/>
    </row>
    <row r="3" spans="1:10" ht="16.5" customHeight="1" x14ac:dyDescent="0.35">
      <c r="A3" s="5"/>
      <c r="B3" s="5"/>
      <c r="C3" s="5"/>
      <c r="D3" s="5"/>
      <c r="E3" s="5"/>
      <c r="F3" s="5"/>
      <c r="G3" s="5"/>
      <c r="H3" s="5"/>
      <c r="I3" s="5"/>
      <c r="J3" s="5"/>
    </row>
    <row r="4" spans="1:10" ht="16.5" customHeight="1" x14ac:dyDescent="0.35">
      <c r="A4" s="5"/>
      <c r="B4" s="5"/>
      <c r="C4" s="5"/>
      <c r="D4" s="5"/>
      <c r="E4" s="5"/>
      <c r="F4" s="5"/>
      <c r="G4" s="5"/>
      <c r="H4" s="5"/>
      <c r="I4" s="5"/>
      <c r="J4" s="5"/>
    </row>
    <row r="5" spans="1:10" ht="16.5" customHeight="1" x14ac:dyDescent="0.35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 ht="16.5" customHeight="1" x14ac:dyDescent="0.35">
      <c r="A6" s="4" t="s">
        <v>1</v>
      </c>
      <c r="B6" s="4"/>
      <c r="C6" s="4"/>
      <c r="D6" s="4"/>
      <c r="E6" s="4"/>
      <c r="F6" s="4"/>
      <c r="G6" s="4"/>
      <c r="H6" s="4"/>
      <c r="I6" s="4"/>
      <c r="J6" s="4"/>
    </row>
    <row r="7" spans="1:10" ht="16.5" customHeight="1" x14ac:dyDescent="0.35">
      <c r="A7" s="4"/>
      <c r="B7" s="4"/>
      <c r="C7" s="4"/>
      <c r="D7" s="4"/>
      <c r="E7" s="4"/>
      <c r="F7" s="4"/>
      <c r="G7" s="4"/>
      <c r="H7" s="4"/>
      <c r="I7" s="4"/>
      <c r="J7" s="4"/>
    </row>
    <row r="8" spans="1:10" ht="3" customHeight="1" x14ac:dyDescent="0.35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 ht="18.75" customHeight="1" x14ac:dyDescent="0.35">
      <c r="B9" s="3" t="s">
        <v>2</v>
      </c>
      <c r="C9" s="3"/>
      <c r="D9" s="3"/>
      <c r="E9" s="3" t="s">
        <v>3</v>
      </c>
      <c r="F9" s="3"/>
      <c r="G9" s="3"/>
      <c r="H9" s="3" t="s">
        <v>4</v>
      </c>
      <c r="I9" s="3"/>
      <c r="J9" s="3"/>
    </row>
    <row r="10" spans="1:10" ht="15" customHeight="1" x14ac:dyDescent="0.35">
      <c r="B10" s="2" t="s">
        <v>5</v>
      </c>
      <c r="C10" s="2"/>
      <c r="D10" s="2"/>
      <c r="E10" s="2" t="s">
        <v>6</v>
      </c>
      <c r="F10" s="2"/>
      <c r="G10" s="2"/>
      <c r="H10" s="2" t="s">
        <v>7</v>
      </c>
      <c r="I10" s="2"/>
      <c r="J10" s="2"/>
    </row>
    <row r="11" spans="1:10" ht="16.5" customHeight="1" x14ac:dyDescent="0.35"/>
    <row r="12" spans="1:10" ht="16.5" customHeight="1" x14ac:dyDescent="0.35"/>
    <row r="13" spans="1:10" ht="18.75" customHeight="1" x14ac:dyDescent="0.35">
      <c r="B13" s="3" t="s">
        <v>8</v>
      </c>
      <c r="C13" s="3"/>
      <c r="D13" s="3"/>
      <c r="E13" s="3" t="s">
        <v>9</v>
      </c>
      <c r="F13" s="3"/>
      <c r="G13" s="3"/>
      <c r="H13" s="3" t="s">
        <v>10</v>
      </c>
      <c r="I13" s="3"/>
      <c r="J13" s="3"/>
    </row>
    <row r="14" spans="1:10" ht="15" customHeight="1" x14ac:dyDescent="0.35">
      <c r="B14" s="2" t="s">
        <v>11</v>
      </c>
      <c r="C14" s="2"/>
      <c r="D14" s="2"/>
      <c r="E14" s="2" t="s">
        <v>12</v>
      </c>
      <c r="F14" s="2"/>
      <c r="G14" s="2"/>
      <c r="H14" s="2" t="s">
        <v>13</v>
      </c>
      <c r="I14" s="2"/>
      <c r="J14" s="2"/>
    </row>
    <row r="15" spans="1:10" ht="16.5" customHeight="1" x14ac:dyDescent="0.35"/>
    <row r="16" spans="1:10" ht="16.5" customHeight="1" x14ac:dyDescent="0.35"/>
    <row r="17" ht="16.5" customHeight="1" x14ac:dyDescent="0.35"/>
    <row r="18" ht="16.5" customHeight="1" x14ac:dyDescent="0.35"/>
    <row r="19" ht="16.5" customHeight="1" x14ac:dyDescent="0.35"/>
    <row r="20" ht="16.5" customHeight="1" x14ac:dyDescent="0.35"/>
    <row r="21" ht="16.5" customHeight="1" x14ac:dyDescent="0.35"/>
    <row r="22" ht="16.5" customHeight="1" x14ac:dyDescent="0.35"/>
    <row r="23" ht="16.5" customHeight="1" x14ac:dyDescent="0.35"/>
    <row r="24" ht="16.5" customHeight="1" x14ac:dyDescent="0.35"/>
    <row r="25" ht="16.5" customHeight="1" x14ac:dyDescent="0.35"/>
    <row r="26" ht="16.5" customHeight="1" x14ac:dyDescent="0.35"/>
    <row r="27" ht="16.5" customHeight="1" x14ac:dyDescent="0.35"/>
    <row r="28" ht="16.5" customHeight="1" x14ac:dyDescent="0.35"/>
    <row r="29" ht="16.5" customHeight="1" x14ac:dyDescent="0.35"/>
    <row r="30" ht="16.5" customHeight="1" x14ac:dyDescent="0.35"/>
    <row r="31" ht="16.5" customHeight="1" x14ac:dyDescent="0.35"/>
    <row r="32" ht="16.5" customHeight="1" x14ac:dyDescent="0.35"/>
    <row r="33" ht="16.5" customHeight="1" x14ac:dyDescent="0.35"/>
    <row r="34" ht="16.5" customHeight="1" x14ac:dyDescent="0.35"/>
    <row r="35" ht="16.5" customHeight="1" x14ac:dyDescent="0.35"/>
    <row r="36" ht="16.5" customHeight="1" x14ac:dyDescent="0.35"/>
    <row r="37" ht="16.5" customHeight="1" x14ac:dyDescent="0.35"/>
    <row r="38" ht="16.5" customHeight="1" x14ac:dyDescent="0.35"/>
    <row r="39" ht="16.5" customHeight="1" x14ac:dyDescent="0.35"/>
    <row r="40" ht="16.5" customHeight="1" x14ac:dyDescent="0.35"/>
    <row r="41" ht="16.5" customHeight="1" x14ac:dyDescent="0.35"/>
    <row r="42" ht="16.5" customHeight="1" x14ac:dyDescent="0.35"/>
    <row r="43" ht="16.5" customHeight="1" x14ac:dyDescent="0.35"/>
    <row r="44" ht="16.5" customHeight="1" x14ac:dyDescent="0.35"/>
    <row r="45" ht="16.5" customHeight="1" x14ac:dyDescent="0.35"/>
    <row r="46" ht="16.5" customHeight="1" x14ac:dyDescent="0.35"/>
    <row r="47" ht="16.5" customHeight="1" x14ac:dyDescent="0.35"/>
    <row r="48" ht="16.5" customHeight="1" x14ac:dyDescent="0.35"/>
    <row r="49" ht="16.5" customHeight="1" x14ac:dyDescent="0.35"/>
  </sheetData>
  <mergeCells count="14">
    <mergeCell ref="B14:D14"/>
    <mergeCell ref="E14:G14"/>
    <mergeCell ref="H14:J14"/>
    <mergeCell ref="B10:D10"/>
    <mergeCell ref="E10:G10"/>
    <mergeCell ref="H10:J10"/>
    <mergeCell ref="B13:D13"/>
    <mergeCell ref="E13:G13"/>
    <mergeCell ref="H13:J13"/>
    <mergeCell ref="A1:J5"/>
    <mergeCell ref="A6:J7"/>
    <mergeCell ref="B9:D9"/>
    <mergeCell ref="E9:G9"/>
    <mergeCell ref="H9:J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2"/>
  <sheetViews>
    <sheetView rightToLeft="1" topLeftCell="A16" zoomScaleNormal="100" workbookViewId="0">
      <selection activeCell="C35" sqref="C35"/>
    </sheetView>
  </sheetViews>
  <sheetFormatPr defaultColWidth="8.6328125" defaultRowHeight="14.5" x14ac:dyDescent="0.35"/>
  <cols>
    <col min="1" max="1" width="26" style="15" customWidth="1"/>
    <col min="2" max="3" width="18" style="15" customWidth="1"/>
    <col min="4" max="4" width="10" style="15" customWidth="1"/>
    <col min="5" max="5" width="12" style="15" customWidth="1"/>
    <col min="6" max="6" width="14" style="15" customWidth="1"/>
    <col min="7" max="16384" width="8.6328125" style="15"/>
  </cols>
  <sheetData>
    <row r="1" spans="1:6" ht="27.75" customHeight="1" x14ac:dyDescent="0.35">
      <c r="A1" s="14" t="s">
        <v>14</v>
      </c>
      <c r="B1" s="14"/>
      <c r="C1" s="14"/>
      <c r="D1" s="14"/>
      <c r="E1" s="14"/>
      <c r="F1" s="14"/>
    </row>
    <row r="3" spans="1:6" ht="21.75" customHeight="1" x14ac:dyDescent="0.35">
      <c r="A3" s="16" t="s">
        <v>15</v>
      </c>
      <c r="B3" s="16"/>
      <c r="C3" s="16"/>
      <c r="D3" s="16"/>
      <c r="E3" s="16"/>
      <c r="F3" s="16"/>
    </row>
    <row r="4" spans="1:6" ht="19.5" customHeight="1" x14ac:dyDescent="0.35">
      <c r="A4" s="17" t="s">
        <v>16</v>
      </c>
      <c r="B4" s="18" t="s">
        <v>17</v>
      </c>
      <c r="C4" s="18"/>
      <c r="D4" s="18"/>
      <c r="E4" s="18"/>
      <c r="F4" s="18"/>
    </row>
    <row r="5" spans="1:6" ht="19.5" customHeight="1" x14ac:dyDescent="0.35">
      <c r="A5" s="17" t="s">
        <v>18</v>
      </c>
      <c r="B5" s="18" t="s">
        <v>17</v>
      </c>
      <c r="C5" s="18"/>
      <c r="D5" s="18"/>
      <c r="E5" s="18"/>
      <c r="F5" s="18"/>
    </row>
    <row r="6" spans="1:6" ht="19.5" customHeight="1" x14ac:dyDescent="0.35">
      <c r="A6" s="17" t="s">
        <v>19</v>
      </c>
      <c r="B6" s="18" t="s">
        <v>17</v>
      </c>
      <c r="C6" s="18"/>
      <c r="D6" s="18"/>
      <c r="E6" s="18"/>
      <c r="F6" s="18"/>
    </row>
    <row r="7" spans="1:6" ht="19.5" customHeight="1" x14ac:dyDescent="0.35">
      <c r="A7" s="17" t="s">
        <v>20</v>
      </c>
      <c r="B7" s="18" t="s">
        <v>17</v>
      </c>
      <c r="C7" s="18"/>
      <c r="D7" s="18"/>
      <c r="E7" s="18"/>
      <c r="F7" s="18"/>
    </row>
    <row r="8" spans="1:6" ht="19.5" customHeight="1" x14ac:dyDescent="0.35">
      <c r="A8" s="17" t="s">
        <v>21</v>
      </c>
      <c r="B8" s="18" t="s">
        <v>17</v>
      </c>
      <c r="C8" s="18"/>
      <c r="D8" s="18"/>
      <c r="E8" s="18"/>
      <c r="F8" s="18"/>
    </row>
    <row r="10" spans="1:6" ht="21.75" customHeight="1" x14ac:dyDescent="0.35">
      <c r="A10" s="16" t="s">
        <v>22</v>
      </c>
      <c r="B10" s="16"/>
      <c r="C10" s="16"/>
      <c r="D10" s="16"/>
      <c r="E10" s="16"/>
      <c r="F10" s="16"/>
    </row>
    <row r="11" spans="1:6" ht="19.5" customHeight="1" x14ac:dyDescent="0.35">
      <c r="A11" s="19" t="s">
        <v>23</v>
      </c>
      <c r="B11" s="19" t="s">
        <v>24</v>
      </c>
      <c r="C11" s="19" t="s">
        <v>25</v>
      </c>
      <c r="D11" s="19" t="s">
        <v>26</v>
      </c>
      <c r="E11" s="20" t="s">
        <v>27</v>
      </c>
      <c r="F11" s="20"/>
    </row>
    <row r="12" spans="1:6" ht="16.5" customHeight="1" x14ac:dyDescent="0.35">
      <c r="A12" s="21" t="s">
        <v>28</v>
      </c>
      <c r="B12" s="22">
        <v>7</v>
      </c>
      <c r="C12" s="23">
        <v>0.15</v>
      </c>
      <c r="D12" s="32">
        <f t="shared" ref="D12:D17" si="0">B12*C12</f>
        <v>1.05</v>
      </c>
      <c r="E12" s="24" t="s">
        <v>29</v>
      </c>
      <c r="F12" s="24"/>
    </row>
    <row r="13" spans="1:6" ht="16.5" customHeight="1" x14ac:dyDescent="0.35">
      <c r="A13" s="21" t="s">
        <v>30</v>
      </c>
      <c r="B13" s="22">
        <v>8</v>
      </c>
      <c r="C13" s="23">
        <v>0.2</v>
      </c>
      <c r="D13" s="32">
        <f t="shared" si="0"/>
        <v>1.6</v>
      </c>
      <c r="E13" s="24" t="s">
        <v>31</v>
      </c>
      <c r="F13" s="24"/>
    </row>
    <row r="14" spans="1:6" ht="16.5" customHeight="1" x14ac:dyDescent="0.35">
      <c r="A14" s="21" t="s">
        <v>32</v>
      </c>
      <c r="B14" s="22">
        <v>6</v>
      </c>
      <c r="C14" s="23">
        <v>0.2</v>
      </c>
      <c r="D14" s="32">
        <f t="shared" si="0"/>
        <v>1.2000000000000002</v>
      </c>
      <c r="E14" s="24" t="s">
        <v>33</v>
      </c>
      <c r="F14" s="24"/>
    </row>
    <row r="15" spans="1:6" ht="16.5" customHeight="1" x14ac:dyDescent="0.35">
      <c r="A15" s="21" t="s">
        <v>34</v>
      </c>
      <c r="B15" s="22">
        <v>7</v>
      </c>
      <c r="C15" s="23">
        <v>0.15</v>
      </c>
      <c r="D15" s="32">
        <f t="shared" si="0"/>
        <v>1.05</v>
      </c>
      <c r="E15" s="24" t="s">
        <v>35</v>
      </c>
      <c r="F15" s="24"/>
    </row>
    <row r="16" spans="1:6" ht="16.5" customHeight="1" x14ac:dyDescent="0.35">
      <c r="A16" s="21" t="s">
        <v>36</v>
      </c>
      <c r="B16" s="22">
        <v>6</v>
      </c>
      <c r="C16" s="23">
        <v>0.15</v>
      </c>
      <c r="D16" s="32">
        <f t="shared" si="0"/>
        <v>0.89999999999999991</v>
      </c>
      <c r="E16" s="24" t="s">
        <v>37</v>
      </c>
      <c r="F16" s="24"/>
    </row>
    <row r="17" spans="1:6" ht="16.5" customHeight="1" x14ac:dyDescent="0.35">
      <c r="A17" s="21" t="s">
        <v>38</v>
      </c>
      <c r="B17" s="22">
        <v>5</v>
      </c>
      <c r="C17" s="23">
        <v>0.15</v>
      </c>
      <c r="D17" s="32">
        <f t="shared" si="0"/>
        <v>0.75</v>
      </c>
      <c r="E17" s="24" t="s">
        <v>39</v>
      </c>
      <c r="F17" s="24"/>
    </row>
    <row r="18" spans="1:6" ht="19.5" customHeight="1" x14ac:dyDescent="0.35">
      <c r="A18" s="25" t="s">
        <v>40</v>
      </c>
      <c r="B18" s="25"/>
      <c r="C18" s="25"/>
      <c r="D18" s="33">
        <f>SUM(D12:D17)</f>
        <v>6.5500000000000007</v>
      </c>
    </row>
    <row r="19" spans="1:6" ht="25.5" customHeight="1" x14ac:dyDescent="0.35">
      <c r="A19" s="34" t="str">
        <f>IF(D18&gt;=7,"✅ فكرة واعدة – انطلق للمرحلة التالية",IF(D18&gt;=5,"⚠️ فكرة محتملة – تحقق أكثر قبل الاستثمار","❌ أعد التفكير – الفكرة تحتاج تطوير جوهري"))</f>
        <v>⚠️ فكرة محتملة – تحقق أكثر قبل الاستثمار</v>
      </c>
      <c r="B19" s="34"/>
      <c r="C19" s="34"/>
      <c r="D19" s="34"/>
      <c r="E19" s="34"/>
      <c r="F19" s="34"/>
    </row>
    <row r="21" spans="1:6" ht="21.75" customHeight="1" x14ac:dyDescent="0.35">
      <c r="A21" s="16" t="s">
        <v>41</v>
      </c>
      <c r="B21" s="16"/>
      <c r="C21" s="16"/>
      <c r="D21" s="16"/>
      <c r="E21" s="16"/>
      <c r="F21" s="16"/>
    </row>
    <row r="22" spans="1:6" ht="19.5" customHeight="1" x14ac:dyDescent="0.35">
      <c r="A22" s="19" t="s">
        <v>42</v>
      </c>
      <c r="B22" s="19" t="s">
        <v>43</v>
      </c>
      <c r="C22" s="19" t="s">
        <v>44</v>
      </c>
      <c r="D22" s="19" t="s">
        <v>45</v>
      </c>
      <c r="E22" s="19" t="s">
        <v>46</v>
      </c>
      <c r="F22" s="19" t="s">
        <v>47</v>
      </c>
    </row>
    <row r="23" spans="1:6" ht="16.5" customHeight="1" x14ac:dyDescent="0.35">
      <c r="A23" s="26"/>
      <c r="B23" s="26"/>
      <c r="C23" s="26"/>
      <c r="D23" s="26"/>
      <c r="E23" s="26"/>
      <c r="F23" s="26"/>
    </row>
    <row r="24" spans="1:6" ht="16.5" customHeight="1" x14ac:dyDescent="0.35">
      <c r="A24" s="26"/>
      <c r="B24" s="26"/>
      <c r="C24" s="26"/>
      <c r="D24" s="26"/>
      <c r="E24" s="26"/>
      <c r="F24" s="26"/>
    </row>
    <row r="25" spans="1:6" ht="16.5" customHeight="1" x14ac:dyDescent="0.35">
      <c r="A25" s="26"/>
      <c r="B25" s="26"/>
      <c r="C25" s="26"/>
      <c r="D25" s="26"/>
      <c r="E25" s="26"/>
      <c r="F25" s="26"/>
    </row>
    <row r="26" spans="1:6" ht="16.5" customHeight="1" x14ac:dyDescent="0.35">
      <c r="A26" s="26"/>
      <c r="B26" s="26"/>
      <c r="C26" s="26"/>
      <c r="D26" s="26"/>
      <c r="E26" s="26"/>
      <c r="F26" s="26"/>
    </row>
    <row r="28" spans="1:6" x14ac:dyDescent="0.35">
      <c r="A28" s="27" t="s">
        <v>48</v>
      </c>
    </row>
    <row r="29" spans="1:6" ht="12.75" customHeight="1" x14ac:dyDescent="0.35">
      <c r="A29" s="28" t="s">
        <v>49</v>
      </c>
    </row>
    <row r="30" spans="1:6" ht="12.75" customHeight="1" x14ac:dyDescent="0.35">
      <c r="A30" s="29" t="s">
        <v>50</v>
      </c>
    </row>
    <row r="31" spans="1:6" ht="12.75" customHeight="1" x14ac:dyDescent="0.35">
      <c r="A31" s="30" t="s">
        <v>51</v>
      </c>
    </row>
    <row r="32" spans="1:6" ht="12.75" customHeight="1" x14ac:dyDescent="0.35">
      <c r="A32" s="31" t="s">
        <v>52</v>
      </c>
    </row>
  </sheetData>
  <sheetProtection algorithmName="SHA-512" hashValue="p3Tin/2XIWiw5mnDbQ56iAd58JNqIwxyklRTjsKQaVvXtlGPWNnejIafVRWBL6Laqp4p6ATiLxG8EVWGG7gNgA==" saltValue="P/WotJKko5KD6ZZqZJSlag==" spinCount="100000" sheet="1" objects="1" scenarios="1"/>
  <mergeCells count="18">
    <mergeCell ref="A18:C18"/>
    <mergeCell ref="A19:F19"/>
    <mergeCell ref="A21:F21"/>
    <mergeCell ref="E13:F13"/>
    <mergeCell ref="E14:F14"/>
    <mergeCell ref="E15:F15"/>
    <mergeCell ref="E16:F16"/>
    <mergeCell ref="E17:F17"/>
    <mergeCell ref="B7:F7"/>
    <mergeCell ref="B8:F8"/>
    <mergeCell ref="A10:F10"/>
    <mergeCell ref="E11:F11"/>
    <mergeCell ref="E12:F12"/>
    <mergeCell ref="A1:F1"/>
    <mergeCell ref="A3:F3"/>
    <mergeCell ref="B4:F4"/>
    <mergeCell ref="B5:F5"/>
    <mergeCell ref="B6:F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1"/>
  <sheetViews>
    <sheetView rightToLeft="1" zoomScaleNormal="100" workbookViewId="0">
      <selection sqref="A1:N1"/>
    </sheetView>
  </sheetViews>
  <sheetFormatPr defaultColWidth="8.6328125" defaultRowHeight="14.5" x14ac:dyDescent="0.35"/>
  <cols>
    <col min="1" max="1" width="28" customWidth="1"/>
    <col min="2" max="2" width="12" customWidth="1"/>
    <col min="3" max="14" width="6" customWidth="1"/>
    <col min="15" max="15" width="10" customWidth="1"/>
  </cols>
  <sheetData>
    <row r="1" spans="1:15" ht="27.75" customHeight="1" x14ac:dyDescent="0.35">
      <c r="A1" s="1" t="s">
        <v>53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5" ht="19.5" customHeight="1" x14ac:dyDescent="0.35">
      <c r="A2" s="7" t="s">
        <v>54</v>
      </c>
      <c r="B2" s="7" t="s">
        <v>55</v>
      </c>
      <c r="C2" s="11" t="s">
        <v>56</v>
      </c>
      <c r="D2" s="11" t="s">
        <v>57</v>
      </c>
      <c r="E2" s="11" t="s">
        <v>58</v>
      </c>
      <c r="F2" s="11" t="s">
        <v>59</v>
      </c>
      <c r="G2" s="11" t="s">
        <v>60</v>
      </c>
      <c r="H2" s="11" t="s">
        <v>61</v>
      </c>
      <c r="I2" s="11" t="s">
        <v>62</v>
      </c>
      <c r="J2" s="11" t="s">
        <v>63</v>
      </c>
      <c r="K2" s="11" t="s">
        <v>64</v>
      </c>
      <c r="L2" s="11" t="s">
        <v>65</v>
      </c>
      <c r="M2" s="11" t="s">
        <v>66</v>
      </c>
      <c r="N2" s="11" t="s">
        <v>67</v>
      </c>
      <c r="O2" s="7" t="s">
        <v>68</v>
      </c>
    </row>
    <row r="3" spans="1:15" ht="15.75" customHeight="1" x14ac:dyDescent="0.35">
      <c r="A3" s="8" t="s">
        <v>69</v>
      </c>
      <c r="B3" s="12" t="s">
        <v>70</v>
      </c>
      <c r="C3" s="9" t="s">
        <v>71</v>
      </c>
      <c r="D3" s="9" t="s">
        <v>71</v>
      </c>
      <c r="E3" s="13"/>
      <c r="F3" s="13"/>
      <c r="G3" s="13"/>
      <c r="H3" s="13"/>
      <c r="I3" s="13"/>
      <c r="J3" s="13"/>
      <c r="K3" s="13"/>
      <c r="L3" s="13"/>
      <c r="O3" s="10" t="s">
        <v>72</v>
      </c>
    </row>
    <row r="4" spans="1:15" ht="15.75" customHeight="1" x14ac:dyDescent="0.35">
      <c r="A4" s="8" t="s">
        <v>73</v>
      </c>
      <c r="B4" s="12" t="s">
        <v>74</v>
      </c>
      <c r="C4" s="9" t="s">
        <v>71</v>
      </c>
      <c r="D4" s="9" t="s">
        <v>71</v>
      </c>
      <c r="E4" s="13"/>
      <c r="F4" s="13"/>
      <c r="G4" s="13"/>
      <c r="H4" s="13"/>
      <c r="I4" s="13"/>
      <c r="J4" s="13"/>
      <c r="K4" s="13"/>
      <c r="L4" s="13"/>
      <c r="O4" s="10" t="s">
        <v>72</v>
      </c>
    </row>
    <row r="5" spans="1:15" ht="15.75" customHeight="1" x14ac:dyDescent="0.35">
      <c r="A5" s="8" t="s">
        <v>75</v>
      </c>
      <c r="B5" s="12" t="s">
        <v>76</v>
      </c>
      <c r="C5" s="13"/>
      <c r="D5" s="9" t="s">
        <v>71</v>
      </c>
      <c r="E5" s="9" t="s">
        <v>71</v>
      </c>
      <c r="F5" s="13"/>
      <c r="G5" s="13"/>
      <c r="H5" s="13"/>
      <c r="I5" s="13"/>
      <c r="J5" s="13"/>
      <c r="K5" s="13"/>
      <c r="L5" s="13"/>
      <c r="O5" s="10" t="s">
        <v>72</v>
      </c>
    </row>
    <row r="6" spans="1:15" ht="15.75" customHeight="1" x14ac:dyDescent="0.35">
      <c r="A6" s="8" t="s">
        <v>77</v>
      </c>
      <c r="B6" s="12" t="s">
        <v>78</v>
      </c>
      <c r="C6" s="9" t="s">
        <v>71</v>
      </c>
      <c r="D6" s="9" t="s">
        <v>71</v>
      </c>
      <c r="E6" s="13"/>
      <c r="F6" s="13"/>
      <c r="G6" s="13"/>
      <c r="H6" s="13"/>
      <c r="I6" s="13"/>
      <c r="J6" s="13"/>
      <c r="K6" s="13"/>
      <c r="L6" s="13"/>
      <c r="O6" s="10" t="s">
        <v>72</v>
      </c>
    </row>
    <row r="7" spans="1:15" ht="15.75" customHeight="1" x14ac:dyDescent="0.35">
      <c r="A7" s="8" t="s">
        <v>79</v>
      </c>
      <c r="B7" s="12" t="s">
        <v>76</v>
      </c>
      <c r="C7" s="13"/>
      <c r="D7" s="13"/>
      <c r="E7" s="9" t="s">
        <v>71</v>
      </c>
      <c r="F7" s="9" t="s">
        <v>71</v>
      </c>
      <c r="G7" s="9" t="s">
        <v>71</v>
      </c>
      <c r="H7" s="13"/>
      <c r="I7" s="13"/>
      <c r="J7" s="13"/>
      <c r="K7" s="13"/>
      <c r="L7" s="13"/>
      <c r="O7" s="10" t="s">
        <v>72</v>
      </c>
    </row>
    <row r="8" spans="1:15" ht="15.75" customHeight="1" x14ac:dyDescent="0.35">
      <c r="A8" s="8" t="s">
        <v>80</v>
      </c>
      <c r="B8" s="12" t="s">
        <v>81</v>
      </c>
      <c r="C8" s="13"/>
      <c r="D8" s="13"/>
      <c r="E8" s="13"/>
      <c r="F8" s="9" t="s">
        <v>71</v>
      </c>
      <c r="G8" s="13"/>
      <c r="H8" s="13"/>
      <c r="I8" s="13"/>
      <c r="J8" s="13"/>
      <c r="K8" s="13"/>
      <c r="L8" s="13"/>
      <c r="O8" s="10" t="s">
        <v>72</v>
      </c>
    </row>
    <row r="9" spans="1:15" ht="15.75" customHeight="1" x14ac:dyDescent="0.35">
      <c r="A9" s="8" t="s">
        <v>82</v>
      </c>
      <c r="B9" s="12" t="s">
        <v>83</v>
      </c>
      <c r="C9" s="13"/>
      <c r="D9" s="13"/>
      <c r="E9" s="13"/>
      <c r="F9" s="13"/>
      <c r="G9" s="13"/>
      <c r="H9" s="9" t="s">
        <v>71</v>
      </c>
      <c r="I9" s="9" t="s">
        <v>71</v>
      </c>
      <c r="J9" s="13"/>
      <c r="K9" s="13"/>
      <c r="L9" s="13"/>
      <c r="O9" s="10" t="s">
        <v>72</v>
      </c>
    </row>
    <row r="10" spans="1:15" ht="15.75" customHeight="1" x14ac:dyDescent="0.35">
      <c r="A10" s="8" t="s">
        <v>84</v>
      </c>
      <c r="B10" s="12" t="s">
        <v>85</v>
      </c>
      <c r="C10" s="13"/>
      <c r="D10" s="13"/>
      <c r="E10" s="13"/>
      <c r="F10" s="13"/>
      <c r="G10" s="13"/>
      <c r="H10" s="13"/>
      <c r="I10" s="13"/>
      <c r="J10" s="9" t="s">
        <v>71</v>
      </c>
      <c r="K10" s="9" t="s">
        <v>71</v>
      </c>
      <c r="L10" s="13"/>
      <c r="O10" s="10" t="s">
        <v>72</v>
      </c>
    </row>
    <row r="11" spans="1:15" ht="15.75" customHeight="1" x14ac:dyDescent="0.35">
      <c r="A11" s="8" t="s">
        <v>86</v>
      </c>
      <c r="B11" s="12" t="s">
        <v>87</v>
      </c>
      <c r="C11" s="13"/>
      <c r="D11" s="13"/>
      <c r="E11" s="13"/>
      <c r="F11" s="13"/>
      <c r="G11" s="13"/>
      <c r="H11" s="13"/>
      <c r="I11" s="13"/>
      <c r="J11" s="13"/>
      <c r="K11" s="9" t="s">
        <v>71</v>
      </c>
      <c r="L11" s="9" t="s">
        <v>71</v>
      </c>
      <c r="O11" s="10" t="s">
        <v>72</v>
      </c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9"/>
  <sheetViews>
    <sheetView rightToLeft="1" topLeftCell="A9" zoomScaleNormal="100" workbookViewId="0">
      <selection activeCell="C27" sqref="C27"/>
    </sheetView>
  </sheetViews>
  <sheetFormatPr defaultColWidth="8.6328125" defaultRowHeight="14.5" x14ac:dyDescent="0.35"/>
  <cols>
    <col min="1" max="1" width="36" style="15" customWidth="1"/>
    <col min="2" max="2" width="22" style="15" customWidth="1"/>
    <col min="3" max="5" width="10" style="15" customWidth="1"/>
    <col min="6" max="16384" width="8.6328125" style="15"/>
  </cols>
  <sheetData>
    <row r="1" spans="1:5" ht="27.75" customHeight="1" x14ac:dyDescent="0.35">
      <c r="A1" s="14" t="s">
        <v>88</v>
      </c>
      <c r="B1" s="14"/>
      <c r="C1" s="14"/>
      <c r="D1" s="14"/>
      <c r="E1" s="14"/>
    </row>
    <row r="3" spans="1:5" ht="21.75" customHeight="1" x14ac:dyDescent="0.35">
      <c r="A3" s="16" t="s">
        <v>89</v>
      </c>
      <c r="B3" s="16"/>
      <c r="C3" s="16"/>
      <c r="D3" s="16"/>
      <c r="E3" s="16"/>
    </row>
    <row r="4" spans="1:5" ht="16.5" customHeight="1" x14ac:dyDescent="0.35">
      <c r="A4" s="21" t="s">
        <v>90</v>
      </c>
      <c r="B4" s="35">
        <v>15000</v>
      </c>
    </row>
    <row r="5" spans="1:5" ht="16.5" customHeight="1" x14ac:dyDescent="0.35">
      <c r="A5" s="21" t="s">
        <v>91</v>
      </c>
      <c r="B5" s="35">
        <v>8000</v>
      </c>
    </row>
    <row r="6" spans="1:5" ht="16.5" customHeight="1" x14ac:dyDescent="0.35">
      <c r="A6" s="21" t="s">
        <v>92</v>
      </c>
      <c r="B6" s="35">
        <v>25</v>
      </c>
    </row>
    <row r="7" spans="1:5" ht="16.5" customHeight="1" x14ac:dyDescent="0.35">
      <c r="A7" s="21" t="s">
        <v>93</v>
      </c>
      <c r="B7" s="38">
        <f>IF(B6=0,0,(B4+B5)/B6)</f>
        <v>920</v>
      </c>
    </row>
    <row r="9" spans="1:5" ht="21.75" customHeight="1" x14ac:dyDescent="0.35">
      <c r="A9" s="16" t="s">
        <v>94</v>
      </c>
      <c r="B9" s="16"/>
      <c r="C9" s="16"/>
      <c r="D9" s="16"/>
      <c r="E9" s="16"/>
    </row>
    <row r="10" spans="1:5" ht="16.5" customHeight="1" x14ac:dyDescent="0.35">
      <c r="A10" s="21" t="s">
        <v>95</v>
      </c>
      <c r="B10" s="35">
        <v>200</v>
      </c>
    </row>
    <row r="11" spans="1:5" ht="16.5" customHeight="1" x14ac:dyDescent="0.35">
      <c r="A11" s="21" t="s">
        <v>96</v>
      </c>
      <c r="B11" s="36">
        <v>0.65</v>
      </c>
    </row>
    <row r="12" spans="1:5" ht="16.5" customHeight="1" x14ac:dyDescent="0.35">
      <c r="A12" s="21" t="s">
        <v>97</v>
      </c>
      <c r="B12" s="36">
        <v>0.9</v>
      </c>
    </row>
    <row r="13" spans="1:5" ht="16.5" customHeight="1" x14ac:dyDescent="0.35">
      <c r="A13" s="21" t="s">
        <v>98</v>
      </c>
      <c r="B13" s="38">
        <f>IF((1-B12)=0,0,(B9*B10)/(1-B12))</f>
        <v>0</v>
      </c>
    </row>
    <row r="14" spans="1:5" ht="16.5" customHeight="1" x14ac:dyDescent="0.35">
      <c r="A14" s="21" t="s">
        <v>99</v>
      </c>
      <c r="B14" s="39">
        <f>IF((1-B12)=0,0,1/(1-B12))</f>
        <v>10.000000000000002</v>
      </c>
    </row>
    <row r="16" spans="1:5" ht="21.75" customHeight="1" x14ac:dyDescent="0.35">
      <c r="A16" s="37" t="s">
        <v>100</v>
      </c>
      <c r="B16" s="37"/>
      <c r="C16" s="37"/>
      <c r="D16" s="37"/>
      <c r="E16" s="37"/>
    </row>
    <row r="17" spans="1:5" ht="18" customHeight="1" x14ac:dyDescent="0.35">
      <c r="A17" s="17" t="s">
        <v>101</v>
      </c>
      <c r="B17" s="33">
        <f>IF(B7=0,0,B13/B7)</f>
        <v>0</v>
      </c>
    </row>
    <row r="18" spans="1:5" ht="18" customHeight="1" x14ac:dyDescent="0.35">
      <c r="A18" s="17" t="s">
        <v>102</v>
      </c>
      <c r="B18" s="40">
        <f>IF(B15=0,0,B7/(B7*B8))</f>
        <v>0</v>
      </c>
    </row>
    <row r="19" spans="1:5" ht="18" customHeight="1" x14ac:dyDescent="0.35">
      <c r="A19" s="17" t="s">
        <v>103</v>
      </c>
      <c r="B19" s="36">
        <v>0.1</v>
      </c>
    </row>
    <row r="20" spans="1:5" ht="18" customHeight="1" x14ac:dyDescent="0.35">
      <c r="A20" s="17" t="s">
        <v>104</v>
      </c>
      <c r="B20" s="35">
        <v>25000</v>
      </c>
    </row>
    <row r="21" spans="1:5" ht="18" customHeight="1" x14ac:dyDescent="0.35">
      <c r="A21" s="17" t="s">
        <v>105</v>
      </c>
      <c r="B21" s="40">
        <f>IF(B19=0,0,100000/B19)</f>
        <v>1000000</v>
      </c>
    </row>
    <row r="22" spans="1:5" ht="25.5" customHeight="1" x14ac:dyDescent="0.35">
      <c r="A22" s="41" t="str">
        <f>IF(B17&gt;=3,"✅ صحة تجارية ممتازة – LTV:CAC = "&amp;TEXT(B17,"0.0")&amp;":1",IF(B17&gt;=1,"⚠️ هامش ضيق – حسّن الاحتفاظ أو قلل CAC","❌ النموذج غير مستدام – LTV أقل من CAC"))</f>
        <v>❌ النموذج غير مستدام – LTV أقل من CAC</v>
      </c>
      <c r="B22" s="41"/>
      <c r="C22" s="41"/>
      <c r="D22" s="41"/>
      <c r="E22" s="41"/>
    </row>
    <row r="23" spans="1:5" x14ac:dyDescent="0.35">
      <c r="A23" s="41"/>
      <c r="B23" s="41"/>
      <c r="C23" s="41"/>
      <c r="D23" s="41"/>
      <c r="E23" s="41"/>
    </row>
    <row r="25" spans="1:5" x14ac:dyDescent="0.35">
      <c r="A25" s="27" t="s">
        <v>48</v>
      </c>
    </row>
    <row r="26" spans="1:5" ht="12.75" customHeight="1" x14ac:dyDescent="0.35">
      <c r="A26" s="28" t="s">
        <v>49</v>
      </c>
    </row>
    <row r="27" spans="1:5" ht="12.75" customHeight="1" x14ac:dyDescent="0.35">
      <c r="A27" s="29" t="s">
        <v>50</v>
      </c>
    </row>
    <row r="28" spans="1:5" ht="12.75" customHeight="1" x14ac:dyDescent="0.35">
      <c r="A28" s="30" t="s">
        <v>51</v>
      </c>
    </row>
    <row r="29" spans="1:5" ht="12.75" customHeight="1" x14ac:dyDescent="0.35">
      <c r="A29" s="31" t="s">
        <v>52</v>
      </c>
    </row>
  </sheetData>
  <sheetProtection algorithmName="SHA-512" hashValue="hbUo3R+MVZOBXPzIc1ddJ4064KKZOcolhKF7DqUIxQBOwo3oZrjzo5Z+wOScuZo/aeM8uNDWwdN0f/eia/hYmA==" saltValue="YmFk2UoeTEvzLGM14vcfHg==" spinCount="100000" sheet="1" objects="1" scenarios="1"/>
  <mergeCells count="5">
    <mergeCell ref="A1:E1"/>
    <mergeCell ref="A3:E3"/>
    <mergeCell ref="A9:E9"/>
    <mergeCell ref="A16:E16"/>
    <mergeCell ref="A22:E2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0"/>
  <sheetViews>
    <sheetView rightToLeft="1" topLeftCell="A13" zoomScaleNormal="100" workbookViewId="0">
      <selection activeCell="B22" sqref="B22:B24"/>
    </sheetView>
  </sheetViews>
  <sheetFormatPr defaultColWidth="8.6328125" defaultRowHeight="14.5" x14ac:dyDescent="0.35"/>
  <cols>
    <col min="1" max="1" width="28" style="15" customWidth="1"/>
    <col min="2" max="2" width="18" style="15" customWidth="1"/>
    <col min="3" max="8" width="10" style="15" customWidth="1"/>
    <col min="9" max="16384" width="8.6328125" style="15"/>
  </cols>
  <sheetData>
    <row r="1" spans="1:8" ht="27.75" customHeight="1" x14ac:dyDescent="0.35">
      <c r="A1" s="14" t="s">
        <v>106</v>
      </c>
      <c r="B1" s="14"/>
      <c r="C1" s="14"/>
      <c r="D1" s="14"/>
      <c r="E1" s="14"/>
      <c r="F1" s="14"/>
      <c r="G1" s="14"/>
    </row>
    <row r="3" spans="1:8" ht="21.75" customHeight="1" x14ac:dyDescent="0.35">
      <c r="A3" s="16" t="s">
        <v>107</v>
      </c>
      <c r="B3" s="16"/>
      <c r="C3" s="16"/>
      <c r="D3" s="16"/>
    </row>
    <row r="4" spans="1:8" ht="16.5" customHeight="1" x14ac:dyDescent="0.35">
      <c r="A4" s="21" t="s">
        <v>108</v>
      </c>
      <c r="B4" s="35">
        <v>150000</v>
      </c>
    </row>
    <row r="5" spans="1:8" ht="16.5" customHeight="1" x14ac:dyDescent="0.35">
      <c r="A5" s="21" t="s">
        <v>109</v>
      </c>
      <c r="B5" s="35">
        <v>0</v>
      </c>
    </row>
    <row r="6" spans="1:8" ht="16.5" customHeight="1" x14ac:dyDescent="0.35">
      <c r="A6" s="21" t="s">
        <v>110</v>
      </c>
      <c r="B6" s="35">
        <v>0</v>
      </c>
    </row>
    <row r="7" spans="1:8" ht="16.5" customHeight="1" x14ac:dyDescent="0.35">
      <c r="A7" s="21" t="s">
        <v>111</v>
      </c>
      <c r="B7" s="35">
        <v>50000</v>
      </c>
    </row>
    <row r="8" spans="1:8" ht="16.5" customHeight="1" x14ac:dyDescent="0.35">
      <c r="A8" s="21" t="s">
        <v>112</v>
      </c>
      <c r="B8" s="35">
        <v>10000</v>
      </c>
    </row>
    <row r="9" spans="1:8" ht="19.5" customHeight="1" x14ac:dyDescent="0.35">
      <c r="A9" s="42" t="s">
        <v>113</v>
      </c>
      <c r="B9" s="38">
        <f>SUM(B4:B8)</f>
        <v>210000</v>
      </c>
    </row>
    <row r="11" spans="1:8" ht="21.75" customHeight="1" x14ac:dyDescent="0.35">
      <c r="A11" s="16" t="s">
        <v>114</v>
      </c>
      <c r="B11" s="16"/>
      <c r="C11" s="16"/>
      <c r="D11" s="16"/>
      <c r="E11" s="16"/>
      <c r="F11" s="16"/>
      <c r="G11" s="16"/>
    </row>
    <row r="12" spans="1:8" ht="19.5" customHeight="1" x14ac:dyDescent="0.35">
      <c r="A12" s="19" t="s">
        <v>115</v>
      </c>
      <c r="B12" s="19" t="s">
        <v>116</v>
      </c>
      <c r="C12" s="43" t="s">
        <v>117</v>
      </c>
      <c r="D12" s="43" t="s">
        <v>118</v>
      </c>
      <c r="E12" s="43" t="s">
        <v>119</v>
      </c>
      <c r="F12" s="43" t="s">
        <v>120</v>
      </c>
      <c r="G12" s="43" t="s">
        <v>121</v>
      </c>
      <c r="H12" s="43" t="s">
        <v>122</v>
      </c>
    </row>
    <row r="13" spans="1:8" ht="16.5" customHeight="1" x14ac:dyDescent="0.35">
      <c r="A13" s="21" t="s">
        <v>123</v>
      </c>
      <c r="B13" s="35">
        <v>15000</v>
      </c>
      <c r="C13" s="44">
        <f t="shared" ref="C13:C18" si="0">B13</f>
        <v>15000</v>
      </c>
      <c r="D13" s="44">
        <f t="shared" ref="D13:D18" si="1">B13</f>
        <v>15000</v>
      </c>
      <c r="E13" s="44">
        <f t="shared" ref="E13:E18" si="2">B13</f>
        <v>15000</v>
      </c>
      <c r="F13" s="44">
        <f t="shared" ref="F13:F18" si="3">B13</f>
        <v>15000</v>
      </c>
      <c r="G13" s="44">
        <f t="shared" ref="G13:G18" si="4">B13</f>
        <v>15000</v>
      </c>
      <c r="H13" s="44">
        <f t="shared" ref="H13:H18" si="5">B13</f>
        <v>15000</v>
      </c>
    </row>
    <row r="14" spans="1:8" ht="16.5" customHeight="1" x14ac:dyDescent="0.35">
      <c r="A14" s="21" t="s">
        <v>124</v>
      </c>
      <c r="B14" s="35">
        <v>3000</v>
      </c>
      <c r="C14" s="44">
        <f t="shared" si="0"/>
        <v>3000</v>
      </c>
      <c r="D14" s="44">
        <f t="shared" si="1"/>
        <v>3000</v>
      </c>
      <c r="E14" s="44">
        <f t="shared" si="2"/>
        <v>3000</v>
      </c>
      <c r="F14" s="44">
        <f t="shared" si="3"/>
        <v>3000</v>
      </c>
      <c r="G14" s="44">
        <f t="shared" si="4"/>
        <v>3000</v>
      </c>
      <c r="H14" s="44">
        <f t="shared" si="5"/>
        <v>3000</v>
      </c>
    </row>
    <row r="15" spans="1:8" ht="16.5" customHeight="1" x14ac:dyDescent="0.35">
      <c r="A15" s="21" t="s">
        <v>125</v>
      </c>
      <c r="B15" s="35">
        <v>5000</v>
      </c>
      <c r="C15" s="44">
        <f t="shared" si="0"/>
        <v>5000</v>
      </c>
      <c r="D15" s="44">
        <f t="shared" si="1"/>
        <v>5000</v>
      </c>
      <c r="E15" s="44">
        <f t="shared" si="2"/>
        <v>5000</v>
      </c>
      <c r="F15" s="44">
        <f t="shared" si="3"/>
        <v>5000</v>
      </c>
      <c r="G15" s="44">
        <f t="shared" si="4"/>
        <v>5000</v>
      </c>
      <c r="H15" s="44">
        <f t="shared" si="5"/>
        <v>5000</v>
      </c>
    </row>
    <row r="16" spans="1:8" ht="16.5" customHeight="1" x14ac:dyDescent="0.35">
      <c r="A16" s="21" t="s">
        <v>126</v>
      </c>
      <c r="B16" s="35">
        <v>4000</v>
      </c>
      <c r="C16" s="44">
        <f t="shared" si="0"/>
        <v>4000</v>
      </c>
      <c r="D16" s="44">
        <f t="shared" si="1"/>
        <v>4000</v>
      </c>
      <c r="E16" s="44">
        <f t="shared" si="2"/>
        <v>4000</v>
      </c>
      <c r="F16" s="44">
        <f t="shared" si="3"/>
        <v>4000</v>
      </c>
      <c r="G16" s="44">
        <f t="shared" si="4"/>
        <v>4000</v>
      </c>
      <c r="H16" s="44">
        <f t="shared" si="5"/>
        <v>4000</v>
      </c>
    </row>
    <row r="17" spans="1:8" ht="16.5" customHeight="1" x14ac:dyDescent="0.35">
      <c r="A17" s="21" t="s">
        <v>127</v>
      </c>
      <c r="B17" s="35">
        <v>2000</v>
      </c>
      <c r="C17" s="44">
        <f t="shared" si="0"/>
        <v>2000</v>
      </c>
      <c r="D17" s="44">
        <f t="shared" si="1"/>
        <v>2000</v>
      </c>
      <c r="E17" s="44">
        <f t="shared" si="2"/>
        <v>2000</v>
      </c>
      <c r="F17" s="44">
        <f t="shared" si="3"/>
        <v>2000</v>
      </c>
      <c r="G17" s="44">
        <f t="shared" si="4"/>
        <v>2000</v>
      </c>
      <c r="H17" s="44">
        <f t="shared" si="5"/>
        <v>2000</v>
      </c>
    </row>
    <row r="18" spans="1:8" ht="16.5" customHeight="1" x14ac:dyDescent="0.35">
      <c r="A18" s="21" t="s">
        <v>128</v>
      </c>
      <c r="B18" s="35">
        <v>2000</v>
      </c>
      <c r="C18" s="44">
        <f t="shared" si="0"/>
        <v>2000</v>
      </c>
      <c r="D18" s="44">
        <f t="shared" si="1"/>
        <v>2000</v>
      </c>
      <c r="E18" s="44">
        <f t="shared" si="2"/>
        <v>2000</v>
      </c>
      <c r="F18" s="44">
        <f t="shared" si="3"/>
        <v>2000</v>
      </c>
      <c r="G18" s="44">
        <f t="shared" si="4"/>
        <v>2000</v>
      </c>
      <c r="H18" s="44">
        <f t="shared" si="5"/>
        <v>2000</v>
      </c>
    </row>
    <row r="19" spans="1:8" ht="19.5" customHeight="1" x14ac:dyDescent="0.35">
      <c r="A19" s="42" t="s">
        <v>129</v>
      </c>
      <c r="B19" s="38">
        <f t="shared" ref="B19:H19" si="6">SUM(B13:B18)</f>
        <v>31000</v>
      </c>
      <c r="C19" s="44">
        <f t="shared" si="6"/>
        <v>31000</v>
      </c>
      <c r="D19" s="44">
        <f t="shared" si="6"/>
        <v>31000</v>
      </c>
      <c r="E19" s="44">
        <f t="shared" si="6"/>
        <v>31000</v>
      </c>
      <c r="F19" s="44">
        <f t="shared" si="6"/>
        <v>31000</v>
      </c>
      <c r="G19" s="44">
        <f t="shared" si="6"/>
        <v>31000</v>
      </c>
      <c r="H19" s="44">
        <f t="shared" si="6"/>
        <v>31000</v>
      </c>
    </row>
    <row r="21" spans="1:8" ht="21.75" customHeight="1" x14ac:dyDescent="0.35">
      <c r="A21" s="37" t="s">
        <v>130</v>
      </c>
      <c r="B21" s="37"/>
      <c r="C21" s="37"/>
      <c r="D21" s="37"/>
      <c r="E21" s="37"/>
      <c r="F21" s="37"/>
      <c r="G21" s="37"/>
    </row>
    <row r="22" spans="1:8" ht="18" customHeight="1" x14ac:dyDescent="0.35">
      <c r="A22" s="17" t="s">
        <v>131</v>
      </c>
      <c r="B22" s="44">
        <f>B9</f>
        <v>210000</v>
      </c>
    </row>
    <row r="23" spans="1:8" ht="18" customHeight="1" x14ac:dyDescent="0.35">
      <c r="A23" s="17" t="s">
        <v>132</v>
      </c>
      <c r="B23" s="44">
        <f>B19</f>
        <v>31000</v>
      </c>
    </row>
    <row r="24" spans="1:8" ht="18" customHeight="1" x14ac:dyDescent="0.35">
      <c r="A24" s="17" t="s">
        <v>133</v>
      </c>
      <c r="B24" s="45">
        <f>IF(B23=0,"∞",ROUND(B22/B23,0))</f>
        <v>7</v>
      </c>
    </row>
    <row r="26" spans="1:8" x14ac:dyDescent="0.35">
      <c r="A26" s="27" t="s">
        <v>48</v>
      </c>
    </row>
    <row r="27" spans="1:8" ht="12.75" customHeight="1" x14ac:dyDescent="0.35">
      <c r="A27" s="28" t="s">
        <v>49</v>
      </c>
    </row>
    <row r="28" spans="1:8" ht="12.75" customHeight="1" x14ac:dyDescent="0.35">
      <c r="A28" s="29" t="s">
        <v>50</v>
      </c>
    </row>
    <row r="29" spans="1:8" ht="12.75" customHeight="1" x14ac:dyDescent="0.35">
      <c r="A29" s="30" t="s">
        <v>51</v>
      </c>
    </row>
    <row r="30" spans="1:8" ht="12.75" customHeight="1" x14ac:dyDescent="0.35">
      <c r="A30" s="31" t="s">
        <v>52</v>
      </c>
    </row>
  </sheetData>
  <sheetProtection algorithmName="SHA-512" hashValue="Sl1lkmFI3Ym4NWtEr6U5Hy12DtHQX+DJXtLxzqiYm36rH4hrsUvDoFkwvZuDZdonnMDiZeI/NKmU2Fw8y9xPEA==" saltValue="H+I8JeVhvKfZOg8UJ6PdUg==" spinCount="100000" sheet="1" objects="1" scenarios="1"/>
  <mergeCells count="4">
    <mergeCell ref="A1:G1"/>
    <mergeCell ref="A3:D3"/>
    <mergeCell ref="A11:G11"/>
    <mergeCell ref="A21:G2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7"/>
  <sheetViews>
    <sheetView rightToLeft="1" topLeftCell="A6" zoomScaleNormal="100" workbookViewId="0">
      <selection activeCell="F26" sqref="F26"/>
    </sheetView>
  </sheetViews>
  <sheetFormatPr defaultColWidth="8.6328125" defaultRowHeight="14.5" x14ac:dyDescent="0.35"/>
  <cols>
    <col min="1" max="1" width="30" style="15" customWidth="1"/>
    <col min="2" max="5" width="12" style="15" customWidth="1"/>
    <col min="6" max="6" width="14" style="15" customWidth="1"/>
    <col min="7" max="7" width="12" style="15" customWidth="1"/>
    <col min="8" max="16384" width="8.6328125" style="15"/>
  </cols>
  <sheetData>
    <row r="1" spans="1:7" ht="27.75" customHeight="1" x14ac:dyDescent="0.35">
      <c r="A1" s="14" t="s">
        <v>134</v>
      </c>
      <c r="B1" s="14"/>
      <c r="C1" s="14"/>
      <c r="D1" s="14"/>
      <c r="E1" s="14"/>
      <c r="F1" s="14"/>
      <c r="G1" s="14"/>
    </row>
    <row r="3" spans="1:7" ht="21.75" customHeight="1" x14ac:dyDescent="0.35">
      <c r="A3" s="16" t="s">
        <v>135</v>
      </c>
      <c r="B3" s="16"/>
      <c r="C3" s="16"/>
      <c r="D3" s="16"/>
      <c r="E3" s="16"/>
      <c r="F3" s="16"/>
      <c r="G3" s="16"/>
    </row>
    <row r="4" spans="1:7" ht="19.5" customHeight="1" x14ac:dyDescent="0.35">
      <c r="A4" s="19" t="s">
        <v>136</v>
      </c>
      <c r="B4" s="20" t="s">
        <v>137</v>
      </c>
      <c r="C4" s="20"/>
      <c r="D4" s="20"/>
      <c r="F4" s="19" t="s">
        <v>138</v>
      </c>
      <c r="G4" s="19" t="s">
        <v>139</v>
      </c>
    </row>
    <row r="5" spans="1:7" ht="16.5" customHeight="1" x14ac:dyDescent="0.35">
      <c r="A5" s="17" t="s">
        <v>140</v>
      </c>
      <c r="B5" s="46" t="s">
        <v>141</v>
      </c>
      <c r="C5" s="46"/>
      <c r="D5" s="46"/>
      <c r="E5" s="46"/>
      <c r="F5" s="22">
        <v>100</v>
      </c>
      <c r="G5" s="22">
        <v>0</v>
      </c>
    </row>
    <row r="6" spans="1:7" ht="16.5" customHeight="1" x14ac:dyDescent="0.35">
      <c r="A6" s="47"/>
      <c r="B6" s="46" t="s">
        <v>142</v>
      </c>
      <c r="C6" s="46"/>
      <c r="D6" s="46"/>
      <c r="E6" s="46"/>
      <c r="F6" s="23">
        <v>0.85</v>
      </c>
      <c r="G6" s="23">
        <v>0</v>
      </c>
    </row>
    <row r="7" spans="1:7" ht="16.5" customHeight="1" x14ac:dyDescent="0.35">
      <c r="A7" s="47"/>
      <c r="B7" s="46" t="s">
        <v>143</v>
      </c>
      <c r="C7" s="46"/>
      <c r="D7" s="46"/>
      <c r="E7" s="46"/>
      <c r="F7" s="22">
        <v>50</v>
      </c>
      <c r="G7" s="22">
        <v>0</v>
      </c>
    </row>
    <row r="8" spans="1:7" ht="16.5" customHeight="1" x14ac:dyDescent="0.35">
      <c r="A8" s="17" t="s">
        <v>144</v>
      </c>
      <c r="B8" s="46" t="s">
        <v>145</v>
      </c>
      <c r="C8" s="46"/>
      <c r="D8" s="46"/>
      <c r="E8" s="46"/>
      <c r="F8" s="22">
        <v>3</v>
      </c>
      <c r="G8" s="22">
        <v>0</v>
      </c>
    </row>
    <row r="9" spans="1:7" ht="16.5" customHeight="1" x14ac:dyDescent="0.35">
      <c r="A9" s="47"/>
      <c r="B9" s="46" t="s">
        <v>146</v>
      </c>
      <c r="C9" s="46"/>
      <c r="D9" s="46"/>
      <c r="E9" s="46"/>
      <c r="F9" s="22">
        <v>1</v>
      </c>
      <c r="G9" s="22">
        <v>0</v>
      </c>
    </row>
    <row r="10" spans="1:7" ht="16.5" customHeight="1" x14ac:dyDescent="0.35">
      <c r="A10" s="17" t="s">
        <v>147</v>
      </c>
      <c r="B10" s="46" t="s">
        <v>82</v>
      </c>
      <c r="C10" s="46"/>
      <c r="D10" s="46"/>
      <c r="E10" s="46"/>
      <c r="F10" s="22">
        <v>1</v>
      </c>
      <c r="G10" s="22">
        <v>0</v>
      </c>
    </row>
    <row r="11" spans="1:7" ht="16.5" customHeight="1" x14ac:dyDescent="0.35">
      <c r="A11" s="47"/>
      <c r="B11" s="46" t="s">
        <v>148</v>
      </c>
      <c r="C11" s="46"/>
      <c r="D11" s="46"/>
      <c r="E11" s="46"/>
      <c r="F11" s="23">
        <v>0.2</v>
      </c>
      <c r="G11" s="23">
        <v>0</v>
      </c>
    </row>
    <row r="14" spans="1:7" ht="21.75" customHeight="1" x14ac:dyDescent="0.35">
      <c r="A14" s="16" t="s">
        <v>149</v>
      </c>
      <c r="B14" s="16"/>
      <c r="C14" s="16"/>
      <c r="D14" s="16"/>
      <c r="E14" s="16"/>
      <c r="F14" s="16"/>
      <c r="G14" s="16"/>
    </row>
    <row r="15" spans="1:7" ht="19.5" customHeight="1" x14ac:dyDescent="0.35">
      <c r="A15" s="19" t="s">
        <v>150</v>
      </c>
      <c r="B15" s="19" t="s">
        <v>151</v>
      </c>
      <c r="C15" s="19" t="s">
        <v>152</v>
      </c>
      <c r="D15" s="19" t="s">
        <v>153</v>
      </c>
      <c r="E15" s="19" t="s">
        <v>154</v>
      </c>
      <c r="F15" s="48" t="s">
        <v>155</v>
      </c>
      <c r="G15" s="48" t="s">
        <v>156</v>
      </c>
    </row>
    <row r="16" spans="1:7" ht="16.5" customHeight="1" x14ac:dyDescent="0.35">
      <c r="A16" s="21" t="s">
        <v>157</v>
      </c>
      <c r="B16" s="35">
        <v>0</v>
      </c>
      <c r="C16" s="35">
        <v>0</v>
      </c>
      <c r="D16" s="35">
        <v>0</v>
      </c>
      <c r="E16" s="35">
        <v>0</v>
      </c>
      <c r="F16" s="44">
        <f t="shared" ref="F16:F21" si="0">SUM(B16:E16)</f>
        <v>0</v>
      </c>
      <c r="G16" s="35">
        <v>500</v>
      </c>
    </row>
    <row r="17" spans="1:7" ht="16.5" customHeight="1" x14ac:dyDescent="0.35">
      <c r="A17" s="21" t="s">
        <v>158</v>
      </c>
      <c r="B17" s="35">
        <v>0</v>
      </c>
      <c r="C17" s="35">
        <v>0</v>
      </c>
      <c r="D17" s="35">
        <v>0</v>
      </c>
      <c r="E17" s="35">
        <v>0</v>
      </c>
      <c r="F17" s="44">
        <f t="shared" si="0"/>
        <v>0</v>
      </c>
      <c r="G17" s="35">
        <v>50</v>
      </c>
    </row>
    <row r="18" spans="1:7" ht="16.5" customHeight="1" x14ac:dyDescent="0.35">
      <c r="A18" s="21" t="s">
        <v>159</v>
      </c>
      <c r="B18" s="35">
        <v>0</v>
      </c>
      <c r="C18" s="35">
        <v>0</v>
      </c>
      <c r="D18" s="35">
        <v>0</v>
      </c>
      <c r="E18" s="35">
        <v>0</v>
      </c>
      <c r="F18" s="44">
        <f t="shared" si="0"/>
        <v>0</v>
      </c>
      <c r="G18" s="35">
        <v>5</v>
      </c>
    </row>
    <row r="19" spans="1:7" ht="16.5" customHeight="1" x14ac:dyDescent="0.35">
      <c r="A19" s="21" t="s">
        <v>160</v>
      </c>
      <c r="B19" s="35">
        <v>0</v>
      </c>
      <c r="C19" s="35">
        <v>0</v>
      </c>
      <c r="D19" s="35">
        <v>0</v>
      </c>
      <c r="E19" s="35">
        <v>0</v>
      </c>
      <c r="F19" s="44">
        <f t="shared" si="0"/>
        <v>0</v>
      </c>
      <c r="G19" s="35">
        <v>5000</v>
      </c>
    </row>
    <row r="20" spans="1:7" ht="16.5" customHeight="1" x14ac:dyDescent="0.35">
      <c r="A20" s="21" t="s">
        <v>161</v>
      </c>
      <c r="B20" s="35">
        <v>0</v>
      </c>
      <c r="C20" s="35">
        <v>0</v>
      </c>
      <c r="D20" s="35">
        <v>0</v>
      </c>
      <c r="E20" s="35">
        <v>0</v>
      </c>
      <c r="F20" s="44">
        <f t="shared" si="0"/>
        <v>0</v>
      </c>
      <c r="G20" s="36">
        <v>0.95</v>
      </c>
    </row>
    <row r="21" spans="1:7" ht="16.5" customHeight="1" x14ac:dyDescent="0.35">
      <c r="A21" s="21" t="s">
        <v>162</v>
      </c>
      <c r="B21" s="35">
        <v>0</v>
      </c>
      <c r="C21" s="35">
        <v>0</v>
      </c>
      <c r="D21" s="35">
        <v>0</v>
      </c>
      <c r="E21" s="35">
        <v>0</v>
      </c>
      <c r="F21" s="44">
        <f t="shared" si="0"/>
        <v>0</v>
      </c>
      <c r="G21" s="35">
        <v>8</v>
      </c>
    </row>
    <row r="23" spans="1:7" x14ac:dyDescent="0.35">
      <c r="A23" s="27" t="s">
        <v>48</v>
      </c>
    </row>
    <row r="24" spans="1:7" ht="12.75" customHeight="1" x14ac:dyDescent="0.35">
      <c r="A24" s="28" t="s">
        <v>49</v>
      </c>
    </row>
    <row r="25" spans="1:7" ht="12.75" customHeight="1" x14ac:dyDescent="0.35">
      <c r="A25" s="29" t="s">
        <v>50</v>
      </c>
    </row>
    <row r="26" spans="1:7" ht="12.75" customHeight="1" x14ac:dyDescent="0.35">
      <c r="A26" s="30" t="s">
        <v>51</v>
      </c>
    </row>
    <row r="27" spans="1:7" ht="12.75" customHeight="1" x14ac:dyDescent="0.35">
      <c r="A27" s="31" t="s">
        <v>52</v>
      </c>
    </row>
  </sheetData>
  <sheetProtection algorithmName="SHA-512" hashValue="H7ZfeaQ7+gUUxWyEFGfTUGQgHVmo7qQOBmk4GQ70Y54XeFI5bCHgKangxnuullbAFumHGuZnULaG8g/b5SLQmw==" saltValue="Hh0r3SRVGZQTzDSphuDmdQ==" spinCount="100000" sheet="1" objects="1" scenarios="1"/>
  <mergeCells count="11">
    <mergeCell ref="A14:G14"/>
    <mergeCell ref="B7:E7"/>
    <mergeCell ref="B8:E8"/>
    <mergeCell ref="B9:E9"/>
    <mergeCell ref="B10:E10"/>
    <mergeCell ref="B11:E11"/>
    <mergeCell ref="A1:G1"/>
    <mergeCell ref="A3:G3"/>
    <mergeCell ref="B4:D4"/>
    <mergeCell ref="B5:E5"/>
    <mergeCell ref="B6:E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6</vt:i4>
      </vt:variant>
    </vt:vector>
  </HeadingPairs>
  <TitlesOfParts>
    <vt:vector size="6" baseType="lpstr">
      <vt:lpstr>الغلاف</vt:lpstr>
      <vt:lpstr>التحقق من الفكرة</vt:lpstr>
      <vt:lpstr>خارطة الطريق 12 شهراً</vt:lpstr>
      <vt:lpstr>Unit Economics</vt:lpstr>
      <vt:lpstr>نموذج التمويل</vt:lpstr>
      <vt:lpstr>OKRs وKPIs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abdullahmonief@outlook.sa</cp:lastModifiedBy>
  <cp:revision>0</cp:revision>
  <dcterms:created xsi:type="dcterms:W3CDTF">2026-06-09T11:18:56Z</dcterms:created>
  <dcterms:modified xsi:type="dcterms:W3CDTF">2026-06-11T17:54:23Z</dcterms:modified>
  <dc:language>en-US</dc:language>
</cp:coreProperties>
</file>