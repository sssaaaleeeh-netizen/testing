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53B9E4FD-88DB-4ACE-A4CA-85767D78BED0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الغلاف" sheetId="1" r:id="rId1"/>
    <sheet name="ميزانية الزواج" sheetId="2" r:id="rId2"/>
    <sheet name="قائمة مهام الزواج" sheetId="3" r:id="rId3"/>
    <sheet name="مقارنة الموردين" sheetId="4" r:id="rId4"/>
    <sheet name="إدارة المدعوين" sheetId="5" r:id="rId5"/>
    <sheet name="العد التنازلي والجدول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" i="5" l="1"/>
  <c r="B4" i="5"/>
  <c r="E3" i="5"/>
  <c r="G47" i="4"/>
  <c r="G46" i="4"/>
  <c r="G45" i="4"/>
  <c r="G37" i="4"/>
  <c r="G36" i="4"/>
  <c r="G35" i="4"/>
  <c r="G27" i="4"/>
  <c r="G26" i="4"/>
  <c r="G25" i="4"/>
  <c r="G17" i="4"/>
  <c r="G16" i="4"/>
  <c r="G15" i="4"/>
  <c r="G7" i="4"/>
  <c r="G6" i="4"/>
  <c r="G5" i="4"/>
  <c r="E3" i="3"/>
  <c r="A26" i="2"/>
  <c r="E24" i="2"/>
  <c r="C24" i="2"/>
  <c r="G4" i="2" s="1"/>
  <c r="B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D24" i="2" s="1"/>
  <c r="D4" i="2"/>
</calcChain>
</file>

<file path=xl/sharedStrings.xml><?xml version="1.0" encoding="utf-8"?>
<sst xmlns="http://schemas.openxmlformats.org/spreadsheetml/2006/main" count="342" uniqueCount="153">
  <si>
    <t>مخطط ميزانية الزواج والمناسبات</t>
  </si>
  <si>
    <t>خطط زفافك بذكاء – لا مفاجآت مالية في أسعد أيامك</t>
  </si>
  <si>
    <t>💍 ميزانية الزواج</t>
  </si>
  <si>
    <t>📋 قائمة المهام</t>
  </si>
  <si>
    <t>👗 تكاليف العروس</t>
  </si>
  <si>
    <t>تتبع كل ريال</t>
  </si>
  <si>
    <t>لا تنسَ شيئاً</t>
  </si>
  <si>
    <t>مستلزمات كاملة</t>
  </si>
  <si>
    <t>🎊 قاعة وضيافة</t>
  </si>
  <si>
    <t>📅 الجدول الزمني</t>
  </si>
  <si>
    <t>💰 مقارنة العروض</t>
  </si>
  <si>
    <t>مقارنة العروض</t>
  </si>
  <si>
    <t>مواعيد التحضير</t>
  </si>
  <si>
    <t>وفّر أكثر</t>
  </si>
  <si>
    <t>مخطط ميزانية الزواج الشامل</t>
  </si>
  <si>
    <t>متوسط تكلفة حفل الزواج في السعودية: 80,000 – 300,000 ريال</t>
  </si>
  <si>
    <t>الميزانية الإجمالية المتاحة</t>
  </si>
  <si>
    <t>إجمالي المصروف حتى الآن</t>
  </si>
  <si>
    <t>المتبقي من الميزانية</t>
  </si>
  <si>
    <t>الميزانية الإجمالية (ريال)</t>
  </si>
  <si>
    <t>بند الزواج</t>
  </si>
  <si>
    <t>الميزانية المخصصة (ريال)</t>
  </si>
  <si>
    <t>المدفوع الفعلي (ريال)</t>
  </si>
  <si>
    <t>المتبقي (ريال)</t>
  </si>
  <si>
    <t>% من الإجمالي</t>
  </si>
  <si>
    <t>الحالة</t>
  </si>
  <si>
    <t>المورد</t>
  </si>
  <si>
    <t>ملاحظات</t>
  </si>
  <si>
    <t>قاعة الأفراح والديكور</t>
  </si>
  <si>
    <t>بوفيه وخدمة الضيافة</t>
  </si>
  <si>
    <t>فستان العروس</t>
  </si>
  <si>
    <t>بدلة العريس</t>
  </si>
  <si>
    <t>مجوهرات العروس</t>
  </si>
  <si>
    <t>المهر</t>
  </si>
  <si>
    <t>التصوير والفيديو</t>
  </si>
  <si>
    <t>الكوافير والمكياج</t>
  </si>
  <si>
    <t>الدعوات والمطبوعات</t>
  </si>
  <si>
    <t>الموسيقى والترفيه</t>
  </si>
  <si>
    <t>الزهور والتنسيق</t>
  </si>
  <si>
    <t>كعكة الزفاف</t>
  </si>
  <si>
    <t>شهر العسل</t>
  </si>
  <si>
    <t>السيارات والمواصلات</t>
  </si>
  <si>
    <t>الهدايا والمعطيات</t>
  </si>
  <si>
    <t>مصاريف غير متوقعة (10%)</t>
  </si>
  <si>
    <t>الإجمالي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</si>
  <si>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</si>
  <si>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</si>
  <si>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</si>
  <si>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</si>
  <si>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</si>
  <si>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قائمة مهام الزواج الكاملة – لا تفوّتك مهمة</t>
  </si>
  <si>
    <t>تاريخ الزواج المستهدف</t>
  </si>
  <si>
    <t>عدد الأشهر المتبقية</t>
  </si>
  <si>
    <t>المهمة</t>
  </si>
  <si>
    <t>التوقيت المثالي</t>
  </si>
  <si>
    <t>المسؤول</t>
  </si>
  <si>
    <t>الموعد النهائي</t>
  </si>
  <si>
    <t>قبل 12 شهراً</t>
  </si>
  <si>
    <t>تحديد الميزانية الكاملة</t>
  </si>
  <si>
    <t>العائلتان</t>
  </si>
  <si>
    <t>⏳</t>
  </si>
  <si>
    <t>اختيار تاريخ الزواج</t>
  </si>
  <si>
    <t>حجز قاعة الأفراح</t>
  </si>
  <si>
    <t>العريس</t>
  </si>
  <si>
    <t>التعاقد مع المصور</t>
  </si>
  <si>
    <t>قبل 9 أشهر</t>
  </si>
  <si>
    <t>اختيار فستان العروس</t>
  </si>
  <si>
    <t>العروس</t>
  </si>
  <si>
    <t>إرسال الدعوات الأولية</t>
  </si>
  <si>
    <t>اختيار شركة الضيافة</t>
  </si>
  <si>
    <t>التعاقد مع كوافير</t>
  </si>
  <si>
    <t>قبل 6 أشهر</t>
  </si>
  <si>
    <t>شراء المجوهرات</t>
  </si>
  <si>
    <t>تجهيز المسكن</t>
  </si>
  <si>
    <t>حجز شهر العسل</t>
  </si>
  <si>
    <t>تصميم الدعوات</t>
  </si>
  <si>
    <t>قبل 3 أشهر</t>
  </si>
  <si>
    <t>قائمة المدعوين النهائية</t>
  </si>
  <si>
    <t>توزيع الدعوات</t>
  </si>
  <si>
    <t>تجربة فستان العروس</t>
  </si>
  <si>
    <t>ترتيب الديكور</t>
  </si>
  <si>
    <t>الأسبوع الأخير</t>
  </si>
  <si>
    <t>تأكيد جميع الموردين</t>
  </si>
  <si>
    <t>ترتيب سيارات الزفاف</t>
  </si>
  <si>
    <t>إعداد المستلزمات الأخيرة</t>
  </si>
  <si>
    <t>الراحة والاستعداد</t>
  </si>
  <si>
    <t>كلاهما</t>
  </si>
  <si>
    <t>مقارنة عروض موردي الزواج</t>
  </si>
  <si>
    <t>قاعة الأفراح</t>
  </si>
  <si>
    <t>السعر (ريال)</t>
  </si>
  <si>
    <t>التقييم (1-10)</t>
  </si>
  <si>
    <t>يشمل</t>
  </si>
  <si>
    <t>لا يشمل</t>
  </si>
  <si>
    <t>التوصية</t>
  </si>
  <si>
    <t>الاختيار؟</t>
  </si>
  <si>
    <t>خيار 1</t>
  </si>
  <si>
    <t>خيار 2</t>
  </si>
  <si>
    <t>خيار 3</t>
  </si>
  <si>
    <t>شركة الضيافة</t>
  </si>
  <si>
    <t>مصور الزواج</t>
  </si>
  <si>
    <t>كوافير</t>
  </si>
  <si>
    <t>شركة الديكور</t>
  </si>
  <si>
    <t>إدارة قائمة المدعوين وتتبع الردود</t>
  </si>
  <si>
    <t>إجمالي الدعوات المرسلة</t>
  </si>
  <si>
    <t>الحضور المؤكد</t>
  </si>
  <si>
    <t>الاعتذار</t>
  </si>
  <si>
    <t>لم يرد بعد</t>
  </si>
  <si>
    <t>الاسم</t>
  </si>
  <si>
    <t>العلاقة</t>
  </si>
  <si>
    <t>رقم الجوال</t>
  </si>
  <si>
    <t>عدد الأفراد</t>
  </si>
  <si>
    <t>الرد</t>
  </si>
  <si>
    <t>جانب العريس/العروس</t>
  </si>
  <si>
    <t>هدية</t>
  </si>
  <si>
    <t>⏳ انتظار</t>
  </si>
  <si>
    <t>العد التنازلي وجدول يوم الزفاف</t>
  </si>
  <si>
    <t>تاريخ الزواج</t>
  </si>
  <si>
    <t>جدول يوم الزفاف – الجانب النسائي</t>
  </si>
  <si>
    <t>الوقت</t>
  </si>
  <si>
    <t>المكان</t>
  </si>
  <si>
    <t>8:00 صباحاً</t>
  </si>
  <si>
    <t>الاستيقاظ والتجهيز</t>
  </si>
  <si>
    <t>المنزل</t>
  </si>
  <si>
    <t>9:00 صباحاً</t>
  </si>
  <si>
    <t>بدء جلسة الكوافير</t>
  </si>
  <si>
    <t>صالون التجميل</t>
  </si>
  <si>
    <t>12:00 ظهراً</t>
  </si>
  <si>
    <t>إتمام المكياج والتجميل</t>
  </si>
  <si>
    <t>2:00 مساءً</t>
  </si>
  <si>
    <t>لبس الفستان والتصوير</t>
  </si>
  <si>
    <t>العروس + المصور</t>
  </si>
  <si>
    <t>4:00 مساءً</t>
  </si>
  <si>
    <t>التحرك لقاعة الأفراح</t>
  </si>
  <si>
    <t>5:00 مساءً</t>
  </si>
  <si>
    <t>استقبال الضيوف</t>
  </si>
  <si>
    <t>القاعة</t>
  </si>
  <si>
    <t>7:00 مساءً</t>
  </si>
  <si>
    <t>حفل الزفاف الرسمي</t>
  </si>
  <si>
    <t>10:00 مساءً</t>
  </si>
  <si>
    <t>العشاء</t>
  </si>
  <si>
    <t>12:00 منتصف الليل</t>
  </si>
  <si>
    <t>نهاية الحفل</t>
  </si>
  <si>
    <t>جدول يوم الزفاف – الجانب الرجالي</t>
  </si>
  <si>
    <t>10:00 صباحاً</t>
  </si>
  <si>
    <t>التجهيز والاستعداد</t>
  </si>
  <si>
    <t>تصوير بدلة العريس</t>
  </si>
  <si>
    <t>العريس + المصور</t>
  </si>
  <si>
    <t>التحقق من القاعة والديكور</t>
  </si>
  <si>
    <t>الاستقبال في القاعة</t>
  </si>
  <si>
    <t>العريس + الأهل</t>
  </si>
  <si>
    <t>بدء الحفل الرسمي</t>
  </si>
  <si>
    <t>9:00 مساءً</t>
  </si>
  <si>
    <t>الزفة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</si>
</sst>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9"/>
      <color rgb="FFFFFFFF"/>
      <name val="Arial"/>
      <charset val="1"/>
    </font>
    <font>
      <b/>
      <sz val="14"/>
      <color rgb="FF1F3864"/>
      <name val="Arial"/>
      <charset val="1"/>
    </font>
    <font>
      <b/>
      <sz val="14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  <font>
      <b/>
      <sz val="10"/>
      <color rgb="FF375623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1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DEEAF1"/>
        <bgColor rgb="FFE2EFDA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0" fillId="5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0" fillId="6" borderId="3" xfId="0" applyFont="1" applyFill="1" applyBorder="1" applyAlignment="1">
      <alignment horizontal="left" vertical="center" wrapText="1"/>
    </xf>
    <xf numFmtId="3" fontId="11" fillId="4" borderId="3" xfId="0" applyNumberFormat="1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3" fontId="10" fillId="7" borderId="3" xfId="0" applyNumberFormat="1" applyFont="1" applyFill="1" applyBorder="1" applyAlignment="1">
      <alignment horizontal="right" vertical="center"/>
    </xf>
    <xf numFmtId="0" fontId="12" fillId="6" borderId="3" xfId="0" applyFont="1" applyFill="1" applyBorder="1" applyAlignment="1">
      <alignment horizontal="center" vertical="center" wrapText="1"/>
    </xf>
    <xf numFmtId="49" fontId="11" fillId="4" borderId="3" xfId="0" applyNumberFormat="1" applyFont="1" applyFill="1" applyBorder="1" applyAlignment="1">
      <alignment horizontal="right" vertical="center"/>
    </xf>
    <xf numFmtId="0" fontId="15" fillId="0" borderId="0" xfId="0" applyFont="1"/>
    <xf numFmtId="0" fontId="16" fillId="4" borderId="3" xfId="0" applyFont="1" applyFill="1" applyBorder="1"/>
    <xf numFmtId="0" fontId="17" fillId="7" borderId="3" xfId="0" applyFont="1" applyFill="1" applyBorder="1"/>
    <xf numFmtId="0" fontId="18" fillId="8" borderId="3" xfId="0" applyFont="1" applyFill="1" applyBorder="1"/>
    <xf numFmtId="0" fontId="19" fillId="9" borderId="3" xfId="0" applyFont="1" applyFill="1" applyBorder="1"/>
    <xf numFmtId="1" fontId="10" fillId="7" borderId="3" xfId="0" applyNumberFormat="1" applyFont="1" applyFill="1" applyBorder="1" applyAlignment="1">
      <alignment horizontal="right" vertical="center"/>
    </xf>
    <xf numFmtId="0" fontId="10" fillId="7" borderId="3" xfId="0" applyFont="1" applyFill="1" applyBorder="1" applyAlignment="1">
      <alignment horizontal="left" vertical="center" wrapText="1"/>
    </xf>
    <xf numFmtId="1" fontId="11" fillId="4" borderId="3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3" fontId="8" fillId="4" borderId="2" xfId="0" applyNumberFormat="1" applyFont="1" applyFill="1" applyBorder="1" applyAlignment="1" applyProtection="1">
      <alignment horizontal="center" vertical="center" wrapText="1"/>
      <protection locked="0"/>
    </xf>
    <xf numFmtId="3" fontId="9" fillId="5" borderId="2" xfId="0" applyNumberFormat="1" applyFont="1" applyFill="1" applyBorder="1" applyAlignment="1" applyProtection="1">
      <alignment horizontal="center" vertical="center" wrapText="1"/>
      <protection locked="0"/>
    </xf>
    <xf numFmtId="3" fontId="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3" xfId="0" applyFont="1" applyFill="1" applyBorder="1" applyAlignment="1" applyProtection="1">
      <alignment horizontal="left" vertical="center" wrapText="1"/>
      <protection locked="0"/>
    </xf>
    <xf numFmtId="3" fontId="11" fillId="4" borderId="3" xfId="0" applyNumberFormat="1" applyFont="1" applyFill="1" applyBorder="1" applyAlignment="1" applyProtection="1">
      <alignment horizontal="right" vertical="center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left" vertical="center" wrapText="1"/>
      <protection locked="0"/>
    </xf>
    <xf numFmtId="49" fontId="11" fillId="4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3" xfId="0" applyFont="1" applyFill="1" applyBorder="1" applyAlignment="1" applyProtection="1">
      <alignment horizontal="center" vertical="center" wrapText="1"/>
      <protection locked="0"/>
    </xf>
    <xf numFmtId="4" fontId="13" fillId="8" borderId="4" xfId="0" applyNumberFormat="1" applyFont="1" applyFill="1" applyBorder="1" applyAlignment="1" applyProtection="1">
      <alignment horizontal="right" vertical="center"/>
      <protection locked="0"/>
    </xf>
    <xf numFmtId="0" fontId="15" fillId="0" borderId="0" xfId="0" applyFont="1" applyProtection="1">
      <protection locked="0"/>
    </xf>
    <xf numFmtId="0" fontId="16" fillId="4" borderId="3" xfId="0" applyFont="1" applyFill="1" applyBorder="1" applyProtection="1">
      <protection locked="0"/>
    </xf>
    <xf numFmtId="0" fontId="17" fillId="7" borderId="3" xfId="0" applyFont="1" applyFill="1" applyBorder="1" applyProtection="1">
      <protection locked="0"/>
    </xf>
    <xf numFmtId="0" fontId="18" fillId="8" borderId="3" xfId="0" applyFont="1" applyFill="1" applyBorder="1" applyProtection="1">
      <protection locked="0"/>
    </xf>
    <xf numFmtId="0" fontId="19" fillId="9" borderId="3" xfId="0" applyFont="1" applyFill="1" applyBorder="1" applyProtection="1">
      <protection locked="0"/>
    </xf>
    <xf numFmtId="3" fontId="10" fillId="7" borderId="3" xfId="0" applyNumberFormat="1" applyFont="1" applyFill="1" applyBorder="1" applyAlignment="1" applyProtection="1">
      <alignment horizontal="right" vertical="center"/>
      <protection locked="0" hidden="1"/>
    </xf>
    <xf numFmtId="4" fontId="13" fillId="8" borderId="4" xfId="0" applyNumberFormat="1" applyFont="1" applyFill="1" applyBorder="1" applyAlignment="1" applyProtection="1">
      <alignment horizontal="right" vertical="center"/>
      <protection locked="0" hidden="1"/>
    </xf>
    <xf numFmtId="164" fontId="10" fillId="7" borderId="3" xfId="0" applyNumberFormat="1" applyFont="1" applyFill="1" applyBorder="1" applyAlignment="1" applyProtection="1">
      <alignment horizontal="right" vertical="center"/>
      <protection locked="0" hidden="1"/>
    </xf>
    <xf numFmtId="0" fontId="12" fillId="6" borderId="3" xfId="0" applyFont="1" applyFill="1" applyBorder="1" applyAlignment="1" applyProtection="1">
      <alignment horizontal="center" vertical="center" wrapText="1"/>
      <protection locked="0" hidden="1"/>
    </xf>
    <xf numFmtId="0" fontId="14" fillId="8" borderId="5" xfId="0" applyFont="1" applyFill="1" applyBorder="1" applyAlignment="1" applyProtection="1">
      <alignment horizontal="center" vertical="center" wrapText="1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6.5" customHeight="1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16.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6.5" customHeight="1" x14ac:dyDescent="0.3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ht="16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8.75" customHeight="1" x14ac:dyDescent="0.35">
      <c r="B9" s="4" t="s">
        <v>2</v>
      </c>
      <c r="C9" s="4"/>
      <c r="D9" s="4"/>
      <c r="E9" s="4" t="s">
        <v>3</v>
      </c>
      <c r="F9" s="4"/>
      <c r="G9" s="4"/>
      <c r="H9" s="4" t="s">
        <v>4</v>
      </c>
      <c r="I9" s="4"/>
      <c r="J9" s="4"/>
    </row>
    <row r="10" spans="1:10" ht="15" customHeight="1" x14ac:dyDescent="0.35">
      <c r="B10" s="3" t="s">
        <v>5</v>
      </c>
      <c r="C10" s="3"/>
      <c r="D10" s="3"/>
      <c r="E10" s="3" t="s">
        <v>6</v>
      </c>
      <c r="F10" s="3"/>
      <c r="G10" s="3"/>
      <c r="H10" s="3" t="s">
        <v>7</v>
      </c>
      <c r="I10" s="3"/>
      <c r="J10" s="3"/>
    </row>
    <row r="11" spans="1:10" ht="16.5" customHeight="1" x14ac:dyDescent="0.35"/>
    <row r="12" spans="1:10" ht="16.5" customHeight="1" x14ac:dyDescent="0.35"/>
    <row r="13" spans="1:10" ht="18.75" customHeight="1" x14ac:dyDescent="0.35">
      <c r="B13" s="4" t="s">
        <v>8</v>
      </c>
      <c r="C13" s="4"/>
      <c r="D13" s="4"/>
      <c r="E13" s="4" t="s">
        <v>9</v>
      </c>
      <c r="F13" s="4"/>
      <c r="G13" s="4"/>
      <c r="H13" s="4" t="s">
        <v>10</v>
      </c>
      <c r="I13" s="4"/>
      <c r="J13" s="4"/>
    </row>
    <row r="14" spans="1:10" ht="15" customHeight="1" x14ac:dyDescent="0.35">
      <c r="B14" s="3" t="s">
        <v>11</v>
      </c>
      <c r="C14" s="3"/>
      <c r="D14" s="3"/>
      <c r="E14" s="3" t="s">
        <v>12</v>
      </c>
      <c r="F14" s="3"/>
      <c r="G14" s="3"/>
      <c r="H14" s="3" t="s">
        <v>13</v>
      </c>
      <c r="I14" s="3"/>
      <c r="J14" s="3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rightToLeft="1" tabSelected="1" zoomScale="75" zoomScaleNormal="100" workbookViewId="0">
      <selection activeCell="E13" sqref="E13"/>
    </sheetView>
  </sheetViews>
  <sheetFormatPr defaultColWidth="8.6328125" defaultRowHeight="14.5" x14ac:dyDescent="0.35"/>
  <cols>
    <col min="1" max="1" width="24" style="24" customWidth="1"/>
    <col min="2" max="3" width="18" style="24" customWidth="1"/>
    <col min="4" max="4" width="16" style="24" customWidth="1"/>
    <col min="5" max="6" width="12" style="24" customWidth="1"/>
    <col min="7" max="8" width="16" style="24" customWidth="1"/>
    <col min="9" max="16384" width="8.6328125" style="24"/>
  </cols>
  <sheetData>
    <row r="1" spans="1:9" ht="27.75" customHeight="1" x14ac:dyDescent="0.35">
      <c r="A1" s="23" t="s">
        <v>14</v>
      </c>
      <c r="B1" s="23"/>
      <c r="C1" s="23"/>
      <c r="D1" s="23"/>
      <c r="E1" s="23"/>
      <c r="F1" s="23"/>
      <c r="G1" s="23"/>
      <c r="H1" s="23"/>
    </row>
    <row r="2" spans="1:9" ht="15" customHeight="1" x14ac:dyDescent="0.35">
      <c r="A2" s="25" t="s">
        <v>15</v>
      </c>
      <c r="B2" s="25"/>
      <c r="C2" s="25"/>
      <c r="D2" s="25"/>
      <c r="E2" s="25"/>
      <c r="F2" s="25"/>
      <c r="G2" s="25"/>
      <c r="H2" s="25"/>
    </row>
    <row r="3" spans="1:9" ht="19.5" customHeight="1" x14ac:dyDescent="0.35">
      <c r="A3" s="26" t="s">
        <v>16</v>
      </c>
      <c r="B3" s="26"/>
      <c r="C3" s="26"/>
      <c r="D3" s="27" t="s">
        <v>17</v>
      </c>
      <c r="E3" s="27"/>
      <c r="F3" s="27"/>
      <c r="G3" s="28" t="s">
        <v>18</v>
      </c>
      <c r="H3" s="28"/>
      <c r="I3" s="28"/>
    </row>
    <row r="4" spans="1:9" ht="27.75" customHeight="1" x14ac:dyDescent="0.35">
      <c r="A4" s="29">
        <v>150000</v>
      </c>
      <c r="B4" s="29"/>
      <c r="C4" s="29"/>
      <c r="D4" s="30">
        <f>SUM(C11:C50)</f>
        <v>0</v>
      </c>
      <c r="E4" s="30"/>
      <c r="F4" s="30"/>
      <c r="G4" s="31">
        <f>B5-SUM(C11:C50)</f>
        <v>150000</v>
      </c>
      <c r="H4" s="31"/>
      <c r="I4" s="31"/>
    </row>
    <row r="5" spans="1:9" ht="16.5" customHeight="1" x14ac:dyDescent="0.35">
      <c r="A5" s="32" t="s">
        <v>19</v>
      </c>
      <c r="B5" s="33">
        <v>150000</v>
      </c>
    </row>
    <row r="7" spans="1:9" ht="21.75" customHeight="1" x14ac:dyDescent="0.35">
      <c r="A7" s="34" t="s">
        <v>20</v>
      </c>
      <c r="B7" s="34" t="s">
        <v>21</v>
      </c>
      <c r="C7" s="34" t="s">
        <v>22</v>
      </c>
      <c r="D7" s="34" t="s">
        <v>23</v>
      </c>
      <c r="E7" s="34" t="s">
        <v>24</v>
      </c>
      <c r="F7" s="34" t="s">
        <v>25</v>
      </c>
      <c r="G7" s="34" t="s">
        <v>26</v>
      </c>
      <c r="H7" s="34" t="s">
        <v>27</v>
      </c>
    </row>
    <row r="8" spans="1:9" ht="16.5" customHeight="1" x14ac:dyDescent="0.35">
      <c r="A8" s="35" t="s">
        <v>28</v>
      </c>
      <c r="B8" s="33">
        <v>30000</v>
      </c>
      <c r="C8" s="33">
        <v>0</v>
      </c>
      <c r="D8" s="44">
        <f t="shared" ref="D8:D23" si="0">B8-C8</f>
        <v>30000</v>
      </c>
      <c r="E8" s="46">
        <f t="shared" ref="E8:E23" si="1">IF($B$5=0,0,B8/$B$5)</f>
        <v>0.2</v>
      </c>
      <c r="F8" s="47" t="str">
        <f t="shared" ref="F8:F23" si="2">IF(C8=0,"⏳ لم يُدفع",IF(C8&gt;=B8,"✅ مكتمل","🔄 جزئي"))</f>
        <v>⏳ لم يُدفع</v>
      </c>
      <c r="G8" s="36"/>
      <c r="H8" s="36"/>
    </row>
    <row r="9" spans="1:9" ht="16.5" customHeight="1" x14ac:dyDescent="0.35">
      <c r="A9" s="32" t="s">
        <v>29</v>
      </c>
      <c r="B9" s="33">
        <v>25000</v>
      </c>
      <c r="C9" s="33">
        <v>0</v>
      </c>
      <c r="D9" s="44">
        <f t="shared" si="0"/>
        <v>25000</v>
      </c>
      <c r="E9" s="46">
        <f t="shared" si="1"/>
        <v>0.16666666666666666</v>
      </c>
      <c r="F9" s="47" t="str">
        <f t="shared" si="2"/>
        <v>⏳ لم يُدفع</v>
      </c>
      <c r="G9" s="36"/>
      <c r="H9" s="36"/>
    </row>
    <row r="10" spans="1:9" ht="16.5" customHeight="1" x14ac:dyDescent="0.35">
      <c r="A10" s="35" t="s">
        <v>30</v>
      </c>
      <c r="B10" s="33">
        <v>8000</v>
      </c>
      <c r="C10" s="33">
        <v>0</v>
      </c>
      <c r="D10" s="44">
        <f t="shared" si="0"/>
        <v>8000</v>
      </c>
      <c r="E10" s="46">
        <f t="shared" si="1"/>
        <v>5.3333333333333337E-2</v>
      </c>
      <c r="F10" s="47" t="str">
        <f t="shared" si="2"/>
        <v>⏳ لم يُدفع</v>
      </c>
      <c r="G10" s="36"/>
      <c r="H10" s="36"/>
    </row>
    <row r="11" spans="1:9" ht="16.5" customHeight="1" x14ac:dyDescent="0.35">
      <c r="A11" s="32" t="s">
        <v>31</v>
      </c>
      <c r="B11" s="33">
        <v>3000</v>
      </c>
      <c r="C11" s="33">
        <v>0</v>
      </c>
      <c r="D11" s="44">
        <f t="shared" si="0"/>
        <v>3000</v>
      </c>
      <c r="E11" s="46">
        <f t="shared" si="1"/>
        <v>0.02</v>
      </c>
      <c r="F11" s="47" t="str">
        <f t="shared" si="2"/>
        <v>⏳ لم يُدفع</v>
      </c>
      <c r="G11" s="36"/>
      <c r="H11" s="36"/>
    </row>
    <row r="12" spans="1:9" ht="16.5" customHeight="1" x14ac:dyDescent="0.35">
      <c r="A12" s="35" t="s">
        <v>32</v>
      </c>
      <c r="B12" s="33">
        <v>15000</v>
      </c>
      <c r="C12" s="33">
        <v>0</v>
      </c>
      <c r="D12" s="44">
        <f t="shared" si="0"/>
        <v>15000</v>
      </c>
      <c r="E12" s="46">
        <f t="shared" si="1"/>
        <v>0.1</v>
      </c>
      <c r="F12" s="47" t="str">
        <f t="shared" si="2"/>
        <v>⏳ لم يُدفع</v>
      </c>
      <c r="G12" s="36"/>
      <c r="H12" s="36"/>
    </row>
    <row r="13" spans="1:9" ht="16.5" customHeight="1" x14ac:dyDescent="0.35">
      <c r="A13" s="32" t="s">
        <v>33</v>
      </c>
      <c r="B13" s="33">
        <v>20000</v>
      </c>
      <c r="C13" s="33">
        <v>0</v>
      </c>
      <c r="D13" s="44">
        <f t="shared" si="0"/>
        <v>20000</v>
      </c>
      <c r="E13" s="46">
        <f t="shared" si="1"/>
        <v>0.13333333333333333</v>
      </c>
      <c r="F13" s="47" t="str">
        <f t="shared" si="2"/>
        <v>⏳ لم يُدفع</v>
      </c>
      <c r="G13" s="36"/>
      <c r="H13" s="36"/>
    </row>
    <row r="14" spans="1:9" ht="16.5" customHeight="1" x14ac:dyDescent="0.35">
      <c r="A14" s="35" t="s">
        <v>34</v>
      </c>
      <c r="B14" s="33">
        <v>8000</v>
      </c>
      <c r="C14" s="33">
        <v>0</v>
      </c>
      <c r="D14" s="44">
        <f t="shared" si="0"/>
        <v>8000</v>
      </c>
      <c r="E14" s="46">
        <f t="shared" si="1"/>
        <v>5.3333333333333337E-2</v>
      </c>
      <c r="F14" s="47" t="str">
        <f t="shared" si="2"/>
        <v>⏳ لم يُدفع</v>
      </c>
      <c r="G14" s="36"/>
      <c r="H14" s="36"/>
    </row>
    <row r="15" spans="1:9" ht="16.5" customHeight="1" x14ac:dyDescent="0.35">
      <c r="A15" s="32" t="s">
        <v>35</v>
      </c>
      <c r="B15" s="33">
        <v>3000</v>
      </c>
      <c r="C15" s="33">
        <v>0</v>
      </c>
      <c r="D15" s="44">
        <f t="shared" si="0"/>
        <v>3000</v>
      </c>
      <c r="E15" s="46">
        <f t="shared" si="1"/>
        <v>0.02</v>
      </c>
      <c r="F15" s="47" t="str">
        <f t="shared" si="2"/>
        <v>⏳ لم يُدفع</v>
      </c>
      <c r="G15" s="36"/>
      <c r="H15" s="36"/>
    </row>
    <row r="16" spans="1:9" ht="16.5" customHeight="1" x14ac:dyDescent="0.35">
      <c r="A16" s="35" t="s">
        <v>36</v>
      </c>
      <c r="B16" s="33">
        <v>2000</v>
      </c>
      <c r="C16" s="33">
        <v>0</v>
      </c>
      <c r="D16" s="44">
        <f t="shared" si="0"/>
        <v>2000</v>
      </c>
      <c r="E16" s="46">
        <f t="shared" si="1"/>
        <v>1.3333333333333334E-2</v>
      </c>
      <c r="F16" s="47" t="str">
        <f t="shared" si="2"/>
        <v>⏳ لم يُدفع</v>
      </c>
      <c r="G16" s="36"/>
      <c r="H16" s="36"/>
    </row>
    <row r="17" spans="1:8" ht="16.5" customHeight="1" x14ac:dyDescent="0.35">
      <c r="A17" s="32" t="s">
        <v>37</v>
      </c>
      <c r="B17" s="33">
        <v>5000</v>
      </c>
      <c r="C17" s="33">
        <v>0</v>
      </c>
      <c r="D17" s="44">
        <f t="shared" si="0"/>
        <v>5000</v>
      </c>
      <c r="E17" s="46">
        <f t="shared" si="1"/>
        <v>3.3333333333333333E-2</v>
      </c>
      <c r="F17" s="47" t="str">
        <f t="shared" si="2"/>
        <v>⏳ لم يُدفع</v>
      </c>
      <c r="G17" s="36"/>
      <c r="H17" s="36"/>
    </row>
    <row r="18" spans="1:8" ht="16.5" customHeight="1" x14ac:dyDescent="0.35">
      <c r="A18" s="35" t="s">
        <v>38</v>
      </c>
      <c r="B18" s="33">
        <v>4000</v>
      </c>
      <c r="C18" s="33">
        <v>0</v>
      </c>
      <c r="D18" s="44">
        <f t="shared" si="0"/>
        <v>4000</v>
      </c>
      <c r="E18" s="46">
        <f t="shared" si="1"/>
        <v>2.6666666666666668E-2</v>
      </c>
      <c r="F18" s="47" t="str">
        <f t="shared" si="2"/>
        <v>⏳ لم يُدفع</v>
      </c>
      <c r="G18" s="36"/>
      <c r="H18" s="36"/>
    </row>
    <row r="19" spans="1:8" ht="16.5" customHeight="1" x14ac:dyDescent="0.35">
      <c r="A19" s="32" t="s">
        <v>39</v>
      </c>
      <c r="B19" s="33">
        <v>2000</v>
      </c>
      <c r="C19" s="33">
        <v>0</v>
      </c>
      <c r="D19" s="44">
        <f t="shared" si="0"/>
        <v>2000</v>
      </c>
      <c r="E19" s="46">
        <f t="shared" si="1"/>
        <v>1.3333333333333334E-2</v>
      </c>
      <c r="F19" s="47" t="str">
        <f t="shared" si="2"/>
        <v>⏳ لم يُدفع</v>
      </c>
      <c r="G19" s="36"/>
      <c r="H19" s="36"/>
    </row>
    <row r="20" spans="1:8" ht="16.5" customHeight="1" x14ac:dyDescent="0.35">
      <c r="A20" s="35" t="s">
        <v>40</v>
      </c>
      <c r="B20" s="33">
        <v>12000</v>
      </c>
      <c r="C20" s="33">
        <v>0</v>
      </c>
      <c r="D20" s="44">
        <f t="shared" si="0"/>
        <v>12000</v>
      </c>
      <c r="E20" s="46">
        <f t="shared" si="1"/>
        <v>0.08</v>
      </c>
      <c r="F20" s="47" t="str">
        <f t="shared" si="2"/>
        <v>⏳ لم يُدفع</v>
      </c>
      <c r="G20" s="36"/>
      <c r="H20" s="36"/>
    </row>
    <row r="21" spans="1:8" ht="16.5" customHeight="1" x14ac:dyDescent="0.35">
      <c r="A21" s="32" t="s">
        <v>41</v>
      </c>
      <c r="B21" s="33">
        <v>3000</v>
      </c>
      <c r="C21" s="33">
        <v>0</v>
      </c>
      <c r="D21" s="44">
        <f t="shared" si="0"/>
        <v>3000</v>
      </c>
      <c r="E21" s="46">
        <f t="shared" si="1"/>
        <v>0.02</v>
      </c>
      <c r="F21" s="47" t="str">
        <f t="shared" si="2"/>
        <v>⏳ لم يُدفع</v>
      </c>
      <c r="G21" s="36"/>
      <c r="H21" s="36"/>
    </row>
    <row r="22" spans="1:8" ht="16.5" customHeight="1" x14ac:dyDescent="0.35">
      <c r="A22" s="35" t="s">
        <v>42</v>
      </c>
      <c r="B22" s="33">
        <v>4000</v>
      </c>
      <c r="C22" s="33">
        <v>0</v>
      </c>
      <c r="D22" s="44">
        <f t="shared" si="0"/>
        <v>4000</v>
      </c>
      <c r="E22" s="46">
        <f t="shared" si="1"/>
        <v>2.6666666666666668E-2</v>
      </c>
      <c r="F22" s="47" t="str">
        <f t="shared" si="2"/>
        <v>⏳ لم يُدفع</v>
      </c>
      <c r="G22" s="36"/>
      <c r="H22" s="36"/>
    </row>
    <row r="23" spans="1:8" ht="16.5" customHeight="1" x14ac:dyDescent="0.35">
      <c r="A23" s="32" t="s">
        <v>43</v>
      </c>
      <c r="B23" s="33">
        <v>6000</v>
      </c>
      <c r="C23" s="33">
        <v>0</v>
      </c>
      <c r="D23" s="44">
        <f t="shared" si="0"/>
        <v>6000</v>
      </c>
      <c r="E23" s="46">
        <f t="shared" si="1"/>
        <v>0.04</v>
      </c>
      <c r="F23" s="47" t="str">
        <f t="shared" si="2"/>
        <v>⏳ لم يُدفع</v>
      </c>
      <c r="G23" s="36"/>
      <c r="H23" s="36"/>
    </row>
    <row r="24" spans="1:8" ht="19.5" customHeight="1" x14ac:dyDescent="0.35">
      <c r="A24" s="37" t="s">
        <v>44</v>
      </c>
      <c r="B24" s="38">
        <f>SUM(B8:B23)</f>
        <v>150000</v>
      </c>
      <c r="C24" s="38">
        <f>SUM(C8:C23)</f>
        <v>0</v>
      </c>
      <c r="D24" s="45">
        <f>SUM(D8:D23)</f>
        <v>150000</v>
      </c>
      <c r="E24" s="46">
        <f>IF(B24=0,0,C24/B24)</f>
        <v>0</v>
      </c>
    </row>
    <row r="26" spans="1:8" ht="25.5" customHeight="1" x14ac:dyDescent="0.35">
      <c r="A26" s="48" t="str">
        <f>IF(C24&gt;B5,"⚠️ تجاوزت الميزانية بـ "&amp;TEXT(C24-B5,"#,##0")&amp;" ريال – راجع التخفيضات",IF(C24/B5&gt;0.8,"📊 استخدمت "&amp;TEXT(C24/B5,"0%")&amp;" من الميزانية","✅ ممتاز – استخدمت "&amp;TEXT(C24/B5,"0%")&amp;" من الميزانية"))</f>
        <v>✅ ممتاز – استخدمت 0% من الميزانية</v>
      </c>
      <c r="B26" s="48"/>
      <c r="C26" s="48"/>
      <c r="D26" s="48"/>
      <c r="E26" s="48"/>
      <c r="F26" s="48"/>
      <c r="G26" s="48"/>
      <c r="H26" s="48"/>
    </row>
    <row r="27" spans="1:8" x14ac:dyDescent="0.35">
      <c r="A27" s="48"/>
      <c r="B27" s="48"/>
      <c r="C27" s="48"/>
      <c r="D27" s="48"/>
      <c r="E27" s="48"/>
      <c r="F27" s="48"/>
      <c r="G27" s="48"/>
      <c r="H27" s="48"/>
    </row>
    <row r="29" spans="1:8" x14ac:dyDescent="0.35">
      <c r="A29" s="39" t="s">
        <v>45</v>
      </c>
    </row>
    <row r="30" spans="1:8" ht="12.75" customHeight="1" x14ac:dyDescent="0.35">
      <c r="A30" s="40" t="s">
        <v>46</v>
      </c>
    </row>
    <row r="31" spans="1:8" ht="12.75" customHeight="1" x14ac:dyDescent="0.35">
      <c r="A31" s="41" t="s">
        <v>47</v>
      </c>
    </row>
    <row r="32" spans="1:8" ht="12.75" customHeight="1" x14ac:dyDescent="0.35">
      <c r="A32" s="42" t="s">
        <v>48</v>
      </c>
    </row>
    <row r="33" spans="1:1" ht="12.75" customHeight="1" x14ac:dyDescent="0.35">
      <c r="A33" s="43" t="s">
        <v>49</v>
      </c>
    </row>
  </sheetData>
  <sheetProtection algorithmName="SHA-512" hashValue="yPXLuzadbN5x1/kzrM9tLfzActY9jANbgKF1B0FdbpzronDShjUmJnU3+S7LsW26NFBL7VFrxMze11R4KLJKgw==" saltValue="/rEaAa8pVyGygJl0lQmp8g==" spinCount="100000" sheet="1" objects="1" scenarios="1"/>
  <mergeCells count="9">
    <mergeCell ref="A4:C4"/>
    <mergeCell ref="D4:F4"/>
    <mergeCell ref="G4:I4"/>
    <mergeCell ref="A26:H27"/>
    <mergeCell ref="A1:H1"/>
    <mergeCell ref="A2:H2"/>
    <mergeCell ref="A3:C3"/>
    <mergeCell ref="D3:F3"/>
    <mergeCell ref="G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rightToLeft="1" topLeftCell="A21" zoomScale="86" zoomScaleNormal="100" workbookViewId="0">
      <selection activeCell="F34" sqref="F34"/>
    </sheetView>
  </sheetViews>
  <sheetFormatPr defaultColWidth="8.6328125" defaultRowHeight="14.5" x14ac:dyDescent="0.35"/>
  <cols>
    <col min="1" max="1" width="28" customWidth="1"/>
    <col min="2" max="2" width="16" customWidth="1"/>
    <col min="3" max="3" width="14" customWidth="1"/>
    <col min="4" max="4" width="12" customWidth="1"/>
    <col min="5" max="5" width="14" customWidth="1"/>
    <col min="6" max="6" width="16" customWidth="1"/>
  </cols>
  <sheetData>
    <row r="1" spans="1:6" ht="27.75" customHeight="1" x14ac:dyDescent="0.35">
      <c r="A1" s="2" t="s">
        <v>50</v>
      </c>
      <c r="B1" s="2"/>
      <c r="C1" s="2"/>
      <c r="D1" s="2"/>
      <c r="E1" s="2"/>
      <c r="F1" s="2"/>
    </row>
    <row r="3" spans="1:6" ht="16.5" customHeight="1" x14ac:dyDescent="0.35">
      <c r="A3" s="8" t="s">
        <v>51</v>
      </c>
      <c r="B3" s="14"/>
      <c r="D3" s="8" t="s">
        <v>52</v>
      </c>
      <c r="E3" s="20">
        <f>0</f>
        <v>0</v>
      </c>
    </row>
    <row r="5" spans="1:6" ht="19.5" customHeight="1" x14ac:dyDescent="0.35">
      <c r="A5" s="10" t="s">
        <v>53</v>
      </c>
      <c r="B5" s="10" t="s">
        <v>54</v>
      </c>
      <c r="C5" s="10" t="s">
        <v>55</v>
      </c>
      <c r="D5" s="10" t="s">
        <v>25</v>
      </c>
      <c r="E5" s="10" t="s">
        <v>56</v>
      </c>
      <c r="F5" s="10" t="s">
        <v>27</v>
      </c>
    </row>
    <row r="6" spans="1:6" ht="21.75" customHeight="1" x14ac:dyDescent="0.35">
      <c r="A6" s="1" t="s">
        <v>57</v>
      </c>
      <c r="B6" s="1"/>
      <c r="C6" s="1"/>
      <c r="D6" s="1"/>
      <c r="E6" s="1"/>
      <c r="F6" s="1"/>
    </row>
    <row r="7" spans="1:6" ht="16.5" customHeight="1" x14ac:dyDescent="0.35">
      <c r="A7" s="11" t="s">
        <v>58</v>
      </c>
      <c r="B7" s="21" t="s">
        <v>57</v>
      </c>
      <c r="C7" s="14" t="s">
        <v>59</v>
      </c>
      <c r="D7" s="14" t="s">
        <v>60</v>
      </c>
      <c r="E7" s="14"/>
      <c r="F7" s="14"/>
    </row>
    <row r="8" spans="1:6" ht="16.5" customHeight="1" x14ac:dyDescent="0.35">
      <c r="A8" s="8" t="s">
        <v>61</v>
      </c>
      <c r="B8" s="21" t="s">
        <v>57</v>
      </c>
      <c r="C8" s="14" t="s">
        <v>59</v>
      </c>
      <c r="D8" s="14" t="s">
        <v>60</v>
      </c>
      <c r="E8" s="14"/>
      <c r="F8" s="14"/>
    </row>
    <row r="9" spans="1:6" ht="16.5" customHeight="1" x14ac:dyDescent="0.35">
      <c r="A9" s="11" t="s">
        <v>62</v>
      </c>
      <c r="B9" s="21" t="s">
        <v>57</v>
      </c>
      <c r="C9" s="14" t="s">
        <v>63</v>
      </c>
      <c r="D9" s="14" t="s">
        <v>60</v>
      </c>
      <c r="E9" s="14"/>
      <c r="F9" s="14"/>
    </row>
    <row r="10" spans="1:6" ht="16.5" customHeight="1" x14ac:dyDescent="0.35">
      <c r="A10" s="8" t="s">
        <v>64</v>
      </c>
      <c r="B10" s="21" t="s">
        <v>57</v>
      </c>
      <c r="C10" s="14" t="s">
        <v>63</v>
      </c>
      <c r="D10" s="14" t="s">
        <v>60</v>
      </c>
      <c r="E10" s="14"/>
      <c r="F10" s="14"/>
    </row>
    <row r="12" spans="1:6" ht="21.75" customHeight="1" x14ac:dyDescent="0.35">
      <c r="A12" s="1" t="s">
        <v>65</v>
      </c>
      <c r="B12" s="1"/>
      <c r="C12" s="1"/>
      <c r="D12" s="1"/>
      <c r="E12" s="1"/>
      <c r="F12" s="1"/>
    </row>
    <row r="13" spans="1:6" ht="16.5" customHeight="1" x14ac:dyDescent="0.35">
      <c r="A13" s="11" t="s">
        <v>66</v>
      </c>
      <c r="B13" s="21" t="s">
        <v>65</v>
      </c>
      <c r="C13" s="14" t="s">
        <v>67</v>
      </c>
      <c r="D13" s="14" t="s">
        <v>60</v>
      </c>
      <c r="E13" s="14"/>
      <c r="F13" s="14"/>
    </row>
    <row r="14" spans="1:6" ht="16.5" customHeight="1" x14ac:dyDescent="0.35">
      <c r="A14" s="8" t="s">
        <v>68</v>
      </c>
      <c r="B14" s="21" t="s">
        <v>65</v>
      </c>
      <c r="C14" s="14" t="s">
        <v>59</v>
      </c>
      <c r="D14" s="14" t="s">
        <v>60</v>
      </c>
      <c r="E14" s="14"/>
      <c r="F14" s="14"/>
    </row>
    <row r="15" spans="1:6" ht="16.5" customHeight="1" x14ac:dyDescent="0.35">
      <c r="A15" s="11" t="s">
        <v>69</v>
      </c>
      <c r="B15" s="21" t="s">
        <v>65</v>
      </c>
      <c r="C15" s="14" t="s">
        <v>63</v>
      </c>
      <c r="D15" s="14" t="s">
        <v>60</v>
      </c>
      <c r="E15" s="14"/>
      <c r="F15" s="14"/>
    </row>
    <row r="16" spans="1:6" ht="16.5" customHeight="1" x14ac:dyDescent="0.35">
      <c r="A16" s="8" t="s">
        <v>70</v>
      </c>
      <c r="B16" s="21" t="s">
        <v>65</v>
      </c>
      <c r="C16" s="14" t="s">
        <v>67</v>
      </c>
      <c r="D16" s="14" t="s">
        <v>60</v>
      </c>
      <c r="E16" s="14"/>
      <c r="F16" s="14"/>
    </row>
    <row r="18" spans="1:6" ht="21.75" customHeight="1" x14ac:dyDescent="0.35">
      <c r="A18" s="1" t="s">
        <v>71</v>
      </c>
      <c r="B18" s="1"/>
      <c r="C18" s="1"/>
      <c r="D18" s="1"/>
      <c r="E18" s="1"/>
      <c r="F18" s="1"/>
    </row>
    <row r="19" spans="1:6" ht="16.5" customHeight="1" x14ac:dyDescent="0.35">
      <c r="A19" s="11" t="s">
        <v>72</v>
      </c>
      <c r="B19" s="21" t="s">
        <v>71</v>
      </c>
      <c r="C19" s="14" t="s">
        <v>63</v>
      </c>
      <c r="D19" s="14" t="s">
        <v>60</v>
      </c>
      <c r="E19" s="14"/>
      <c r="F19" s="14"/>
    </row>
    <row r="20" spans="1:6" ht="16.5" customHeight="1" x14ac:dyDescent="0.35">
      <c r="A20" s="8" t="s">
        <v>73</v>
      </c>
      <c r="B20" s="21" t="s">
        <v>71</v>
      </c>
      <c r="C20" s="14" t="s">
        <v>63</v>
      </c>
      <c r="D20" s="14" t="s">
        <v>60</v>
      </c>
      <c r="E20" s="14"/>
      <c r="F20" s="14"/>
    </row>
    <row r="21" spans="1:6" ht="16.5" customHeight="1" x14ac:dyDescent="0.35">
      <c r="A21" s="11" t="s">
        <v>74</v>
      </c>
      <c r="B21" s="21" t="s">
        <v>71</v>
      </c>
      <c r="C21" s="14" t="s">
        <v>63</v>
      </c>
      <c r="D21" s="14" t="s">
        <v>60</v>
      </c>
      <c r="E21" s="14"/>
      <c r="F21" s="14"/>
    </row>
    <row r="22" spans="1:6" ht="16.5" customHeight="1" x14ac:dyDescent="0.35">
      <c r="A22" s="8" t="s">
        <v>75</v>
      </c>
      <c r="B22" s="21" t="s">
        <v>71</v>
      </c>
      <c r="C22" s="14" t="s">
        <v>67</v>
      </c>
      <c r="D22" s="14" t="s">
        <v>60</v>
      </c>
      <c r="E22" s="14"/>
      <c r="F22" s="14"/>
    </row>
    <row r="24" spans="1:6" ht="21.75" customHeight="1" x14ac:dyDescent="0.35">
      <c r="A24" s="1" t="s">
        <v>76</v>
      </c>
      <c r="B24" s="1"/>
      <c r="C24" s="1"/>
      <c r="D24" s="1"/>
      <c r="E24" s="1"/>
      <c r="F24" s="1"/>
    </row>
    <row r="25" spans="1:6" ht="16.5" customHeight="1" x14ac:dyDescent="0.35">
      <c r="A25" s="11" t="s">
        <v>77</v>
      </c>
      <c r="B25" s="21" t="s">
        <v>76</v>
      </c>
      <c r="C25" s="14" t="s">
        <v>59</v>
      </c>
      <c r="D25" s="14" t="s">
        <v>60</v>
      </c>
      <c r="E25" s="14"/>
      <c r="F25" s="14"/>
    </row>
    <row r="26" spans="1:6" ht="16.5" customHeight="1" x14ac:dyDescent="0.35">
      <c r="A26" s="8" t="s">
        <v>78</v>
      </c>
      <c r="B26" s="21" t="s">
        <v>76</v>
      </c>
      <c r="C26" s="14" t="s">
        <v>59</v>
      </c>
      <c r="D26" s="14" t="s">
        <v>60</v>
      </c>
      <c r="E26" s="14"/>
      <c r="F26" s="14"/>
    </row>
    <row r="27" spans="1:6" ht="16.5" customHeight="1" x14ac:dyDescent="0.35">
      <c r="A27" s="11" t="s">
        <v>79</v>
      </c>
      <c r="B27" s="21" t="s">
        <v>76</v>
      </c>
      <c r="C27" s="14" t="s">
        <v>67</v>
      </c>
      <c r="D27" s="14" t="s">
        <v>60</v>
      </c>
      <c r="E27" s="14"/>
      <c r="F27" s="14"/>
    </row>
    <row r="28" spans="1:6" ht="16.5" customHeight="1" x14ac:dyDescent="0.35">
      <c r="A28" s="8" t="s">
        <v>80</v>
      </c>
      <c r="B28" s="21" t="s">
        <v>76</v>
      </c>
      <c r="C28" s="14" t="s">
        <v>63</v>
      </c>
      <c r="D28" s="14" t="s">
        <v>60</v>
      </c>
      <c r="E28" s="14"/>
      <c r="F28" s="14"/>
    </row>
    <row r="30" spans="1:6" ht="21.75" customHeight="1" x14ac:dyDescent="0.35">
      <c r="A30" s="1" t="s">
        <v>81</v>
      </c>
      <c r="B30" s="1"/>
      <c r="C30" s="1"/>
      <c r="D30" s="1"/>
      <c r="E30" s="1"/>
      <c r="F30" s="1"/>
    </row>
    <row r="31" spans="1:6" ht="16.5" customHeight="1" x14ac:dyDescent="0.35">
      <c r="A31" s="11" t="s">
        <v>82</v>
      </c>
      <c r="B31" s="21" t="s">
        <v>81</v>
      </c>
      <c r="C31" s="14" t="s">
        <v>63</v>
      </c>
      <c r="D31" s="14" t="s">
        <v>60</v>
      </c>
      <c r="E31" s="14"/>
      <c r="F31" s="14"/>
    </row>
    <row r="32" spans="1:6" ht="16.5" customHeight="1" x14ac:dyDescent="0.35">
      <c r="A32" s="8" t="s">
        <v>83</v>
      </c>
      <c r="B32" s="21" t="s">
        <v>81</v>
      </c>
      <c r="C32" s="14" t="s">
        <v>63</v>
      </c>
      <c r="D32" s="14" t="s">
        <v>60</v>
      </c>
      <c r="E32" s="14"/>
      <c r="F32" s="14"/>
    </row>
    <row r="33" spans="1:6" ht="16.5" customHeight="1" x14ac:dyDescent="0.35">
      <c r="A33" s="11" t="s">
        <v>84</v>
      </c>
      <c r="B33" s="21" t="s">
        <v>81</v>
      </c>
      <c r="C33" s="14" t="s">
        <v>67</v>
      </c>
      <c r="D33" s="14" t="s">
        <v>60</v>
      </c>
      <c r="E33" s="14"/>
      <c r="F33" s="14"/>
    </row>
    <row r="34" spans="1:6" ht="16.5" customHeight="1" x14ac:dyDescent="0.35">
      <c r="A34" s="8" t="s">
        <v>85</v>
      </c>
      <c r="B34" s="21" t="s">
        <v>81</v>
      </c>
      <c r="C34" s="14" t="s">
        <v>86</v>
      </c>
      <c r="D34" s="14" t="s">
        <v>60</v>
      </c>
      <c r="E34" s="14"/>
      <c r="F34" s="14"/>
    </row>
    <row r="36" spans="1:6" x14ac:dyDescent="0.35">
      <c r="A36" s="15" t="s">
        <v>45</v>
      </c>
    </row>
    <row r="37" spans="1:6" ht="12.75" customHeight="1" x14ac:dyDescent="0.35">
      <c r="A37" s="16" t="s">
        <v>46</v>
      </c>
    </row>
    <row r="38" spans="1:6" ht="12.75" customHeight="1" x14ac:dyDescent="0.35">
      <c r="A38" s="17" t="s">
        <v>47</v>
      </c>
    </row>
    <row r="39" spans="1:6" ht="12.75" customHeight="1" x14ac:dyDescent="0.35">
      <c r="A39" s="18" t="s">
        <v>48</v>
      </c>
    </row>
    <row r="40" spans="1:6" ht="12.75" customHeight="1" x14ac:dyDescent="0.35">
      <c r="A40" s="19" t="s">
        <v>49</v>
      </c>
    </row>
  </sheetData>
  <mergeCells count="6">
    <mergeCell ref="A30:F30"/>
    <mergeCell ref="A1:F1"/>
    <mergeCell ref="A6:F6"/>
    <mergeCell ref="A12:F12"/>
    <mergeCell ref="A18:F18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rightToLeft="1" topLeftCell="A3" zoomScale="87" zoomScaleNormal="100" workbookViewId="0">
      <selection activeCell="G45" sqref="G45"/>
    </sheetView>
  </sheetViews>
  <sheetFormatPr defaultColWidth="8.6328125" defaultRowHeight="14.5" x14ac:dyDescent="0.35"/>
  <cols>
    <col min="1" max="1" width="18" customWidth="1"/>
    <col min="2" max="3" width="14" customWidth="1"/>
    <col min="4" max="5" width="18" customWidth="1"/>
    <col min="6" max="7" width="16" customWidth="1"/>
  </cols>
  <sheetData>
    <row r="1" spans="1:7" ht="27.75" customHeight="1" x14ac:dyDescent="0.35">
      <c r="A1" s="2" t="s">
        <v>87</v>
      </c>
      <c r="B1" s="2"/>
      <c r="C1" s="2"/>
      <c r="D1" s="2"/>
      <c r="E1" s="2"/>
      <c r="F1" s="2"/>
      <c r="G1" s="2"/>
    </row>
    <row r="3" spans="1:7" ht="21.75" customHeight="1" x14ac:dyDescent="0.35">
      <c r="A3" s="1" t="s">
        <v>88</v>
      </c>
      <c r="B3" s="1"/>
      <c r="C3" s="1"/>
      <c r="D3" s="1"/>
      <c r="E3" s="1"/>
      <c r="F3" s="1"/>
      <c r="G3" s="1"/>
    </row>
    <row r="4" spans="1:7" ht="19.5" customHeight="1" x14ac:dyDescent="0.35">
      <c r="A4" s="10" t="s">
        <v>26</v>
      </c>
      <c r="B4" s="10" t="s">
        <v>89</v>
      </c>
      <c r="C4" s="10" t="s">
        <v>90</v>
      </c>
      <c r="D4" s="10" t="s">
        <v>91</v>
      </c>
      <c r="E4" s="10" t="s">
        <v>92</v>
      </c>
      <c r="F4" s="10" t="s">
        <v>93</v>
      </c>
      <c r="G4" s="10" t="s">
        <v>94</v>
      </c>
    </row>
    <row r="5" spans="1:7" ht="16.5" customHeight="1" x14ac:dyDescent="0.35">
      <c r="A5" s="14" t="s">
        <v>95</v>
      </c>
      <c r="B5" s="9">
        <v>0</v>
      </c>
      <c r="C5" s="22">
        <v>0</v>
      </c>
      <c r="D5" s="14"/>
      <c r="E5" s="14"/>
      <c r="F5" s="14"/>
      <c r="G5" s="13" t="str">
        <f>IF(B5=MIN(B5:B7),"✅ الأرخص","")&amp;IF(C5=MAX(C5:C7),"⭐ الأعلى تقييماً","")</f>
        <v>✅ الأرخص⭐ الأعلى تقييماً</v>
      </c>
    </row>
    <row r="6" spans="1:7" ht="16.5" customHeight="1" x14ac:dyDescent="0.35">
      <c r="A6" s="14" t="s">
        <v>96</v>
      </c>
      <c r="B6" s="9">
        <v>0</v>
      </c>
      <c r="C6" s="22">
        <v>0</v>
      </c>
      <c r="D6" s="14"/>
      <c r="E6" s="14"/>
      <c r="F6" s="14"/>
      <c r="G6" s="13" t="str">
        <f>IF(B6=MIN(B5:B7),"✅ الأرخص","")&amp;IF(C6=MAX(C5:C7),"⭐ الأعلى تقييماً","")</f>
        <v>✅ الأرخص⭐ الأعلى تقييماً</v>
      </c>
    </row>
    <row r="7" spans="1:7" ht="16.5" customHeight="1" x14ac:dyDescent="0.35">
      <c r="A7" s="14" t="s">
        <v>97</v>
      </c>
      <c r="B7" s="9">
        <v>0</v>
      </c>
      <c r="C7" s="22">
        <v>0</v>
      </c>
      <c r="D7" s="14"/>
      <c r="E7" s="14"/>
      <c r="F7" s="14"/>
      <c r="G7" s="13" t="str">
        <f>IF(B7=MIN(B5:B7),"✅ الأرخص","")&amp;IF(C7=MAX(C5:C7),"⭐ الأعلى تقييماً","")</f>
        <v>✅ الأرخص⭐ الأعلى تقييماً</v>
      </c>
    </row>
    <row r="13" spans="1:7" ht="21.75" customHeight="1" x14ac:dyDescent="0.35">
      <c r="A13" s="1" t="s">
        <v>98</v>
      </c>
      <c r="B13" s="1"/>
      <c r="C13" s="1"/>
      <c r="D13" s="1"/>
      <c r="E13" s="1"/>
      <c r="F13" s="1"/>
      <c r="G13" s="1"/>
    </row>
    <row r="14" spans="1:7" ht="19.5" customHeight="1" x14ac:dyDescent="0.35">
      <c r="A14" s="10" t="s">
        <v>26</v>
      </c>
      <c r="B14" s="10" t="s">
        <v>89</v>
      </c>
      <c r="C14" s="10" t="s">
        <v>90</v>
      </c>
      <c r="D14" s="10" t="s">
        <v>91</v>
      </c>
      <c r="E14" s="10" t="s">
        <v>92</v>
      </c>
      <c r="F14" s="10" t="s">
        <v>93</v>
      </c>
      <c r="G14" s="10" t="s">
        <v>94</v>
      </c>
    </row>
    <row r="15" spans="1:7" ht="16.5" customHeight="1" x14ac:dyDescent="0.35">
      <c r="A15" s="14" t="s">
        <v>95</v>
      </c>
      <c r="B15" s="9">
        <v>0</v>
      </c>
      <c r="C15" s="22">
        <v>0</v>
      </c>
      <c r="D15" s="14"/>
      <c r="E15" s="14"/>
      <c r="F15" s="14"/>
      <c r="G15" s="13" t="str">
        <f>IF(B15=MIN(B15:B17),"✅ الأرخص","")&amp;IF(C15=MAX(C15:C17),"⭐ الأعلى تقييماً","")</f>
        <v>✅ الأرخص⭐ الأعلى تقييماً</v>
      </c>
    </row>
    <row r="16" spans="1:7" ht="16.5" customHeight="1" x14ac:dyDescent="0.35">
      <c r="A16" s="14" t="s">
        <v>96</v>
      </c>
      <c r="B16" s="9">
        <v>0</v>
      </c>
      <c r="C16" s="22">
        <v>0</v>
      </c>
      <c r="D16" s="14"/>
      <c r="E16" s="14"/>
      <c r="F16" s="14"/>
      <c r="G16" s="13" t="str">
        <f>IF(B16=MIN(B15:B17),"✅ الأرخص","")&amp;IF(C16=MAX(C15:C17),"⭐ الأعلى تقييماً","")</f>
        <v>✅ الأرخص⭐ الأعلى تقييماً</v>
      </c>
    </row>
    <row r="17" spans="1:7" ht="16.5" customHeight="1" x14ac:dyDescent="0.35">
      <c r="A17" s="14" t="s">
        <v>97</v>
      </c>
      <c r="B17" s="9">
        <v>0</v>
      </c>
      <c r="C17" s="22">
        <v>0</v>
      </c>
      <c r="D17" s="14"/>
      <c r="E17" s="14"/>
      <c r="F17" s="14"/>
      <c r="G17" s="13" t="str">
        <f>IF(B17=MIN(B15:B17),"✅ الأرخص","")&amp;IF(C17=MAX(C15:C17),"⭐ الأعلى تقييماً","")</f>
        <v>✅ الأرخص⭐ الأعلى تقييماً</v>
      </c>
    </row>
    <row r="23" spans="1:7" ht="21.75" customHeight="1" x14ac:dyDescent="0.35">
      <c r="A23" s="1" t="s">
        <v>99</v>
      </c>
      <c r="B23" s="1"/>
      <c r="C23" s="1"/>
      <c r="D23" s="1"/>
      <c r="E23" s="1"/>
      <c r="F23" s="1"/>
      <c r="G23" s="1"/>
    </row>
    <row r="24" spans="1:7" ht="19.5" customHeight="1" x14ac:dyDescent="0.35">
      <c r="A24" s="10" t="s">
        <v>26</v>
      </c>
      <c r="B24" s="10" t="s">
        <v>89</v>
      </c>
      <c r="C24" s="10" t="s">
        <v>90</v>
      </c>
      <c r="D24" s="10" t="s">
        <v>91</v>
      </c>
      <c r="E24" s="10" t="s">
        <v>92</v>
      </c>
      <c r="F24" s="10" t="s">
        <v>93</v>
      </c>
      <c r="G24" s="10" t="s">
        <v>94</v>
      </c>
    </row>
    <row r="25" spans="1:7" ht="16.5" customHeight="1" x14ac:dyDescent="0.35">
      <c r="A25" s="14" t="s">
        <v>95</v>
      </c>
      <c r="B25" s="9">
        <v>0</v>
      </c>
      <c r="C25" s="22">
        <v>0</v>
      </c>
      <c r="D25" s="14"/>
      <c r="E25" s="14"/>
      <c r="F25" s="14"/>
      <c r="G25" s="13" t="str">
        <f>IF(B25=MIN(B25:B27),"✅ الأرخص","")&amp;IF(C25=MAX(C25:C27),"⭐ الأعلى تقييماً","")</f>
        <v>✅ الأرخص⭐ الأعلى تقييماً</v>
      </c>
    </row>
    <row r="26" spans="1:7" ht="16.5" customHeight="1" x14ac:dyDescent="0.35">
      <c r="A26" s="14" t="s">
        <v>96</v>
      </c>
      <c r="B26" s="9">
        <v>0</v>
      </c>
      <c r="C26" s="22">
        <v>0</v>
      </c>
      <c r="D26" s="14"/>
      <c r="E26" s="14"/>
      <c r="F26" s="14"/>
      <c r="G26" s="13" t="str">
        <f>IF(B26=MIN(B25:B27),"✅ الأرخص","")&amp;IF(C26=MAX(C25:C27),"⭐ الأعلى تقييماً","")</f>
        <v>✅ الأرخص⭐ الأعلى تقييماً</v>
      </c>
    </row>
    <row r="27" spans="1:7" ht="16.5" customHeight="1" x14ac:dyDescent="0.35">
      <c r="A27" s="14" t="s">
        <v>97</v>
      </c>
      <c r="B27" s="9">
        <v>0</v>
      </c>
      <c r="C27" s="22">
        <v>0</v>
      </c>
      <c r="D27" s="14"/>
      <c r="E27" s="14"/>
      <c r="F27" s="14"/>
      <c r="G27" s="13" t="str">
        <f>IF(B27=MIN(B25:B27),"✅ الأرخص","")&amp;IF(C27=MAX(C25:C27),"⭐ الأعلى تقييماً","")</f>
        <v>✅ الأرخص⭐ الأعلى تقييماً</v>
      </c>
    </row>
    <row r="33" spans="1:7" ht="21.75" customHeight="1" x14ac:dyDescent="0.35">
      <c r="A33" s="1" t="s">
        <v>100</v>
      </c>
      <c r="B33" s="1"/>
      <c r="C33" s="1"/>
      <c r="D33" s="1"/>
      <c r="E33" s="1"/>
      <c r="F33" s="1"/>
      <c r="G33" s="1"/>
    </row>
    <row r="34" spans="1:7" ht="19.5" customHeight="1" x14ac:dyDescent="0.35">
      <c r="A34" s="10" t="s">
        <v>26</v>
      </c>
      <c r="B34" s="10" t="s">
        <v>89</v>
      </c>
      <c r="C34" s="10" t="s">
        <v>90</v>
      </c>
      <c r="D34" s="10" t="s">
        <v>91</v>
      </c>
      <c r="E34" s="10" t="s">
        <v>92</v>
      </c>
      <c r="F34" s="10" t="s">
        <v>93</v>
      </c>
      <c r="G34" s="10" t="s">
        <v>94</v>
      </c>
    </row>
    <row r="35" spans="1:7" ht="16.5" customHeight="1" x14ac:dyDescent="0.35">
      <c r="A35" s="14" t="s">
        <v>95</v>
      </c>
      <c r="B35" s="9">
        <v>0</v>
      </c>
      <c r="C35" s="22">
        <v>0</v>
      </c>
      <c r="D35" s="14"/>
      <c r="E35" s="14"/>
      <c r="F35" s="14"/>
      <c r="G35" s="13" t="str">
        <f>IF(B35=MIN(B35:B37),"✅ الأرخص","")&amp;IF(C35=MAX(C35:C37),"⭐ الأعلى تقييماً","")</f>
        <v>✅ الأرخص⭐ الأعلى تقييماً</v>
      </c>
    </row>
    <row r="36" spans="1:7" ht="16.5" customHeight="1" x14ac:dyDescent="0.35">
      <c r="A36" s="14" t="s">
        <v>96</v>
      </c>
      <c r="B36" s="9">
        <v>0</v>
      </c>
      <c r="C36" s="22">
        <v>0</v>
      </c>
      <c r="D36" s="14"/>
      <c r="E36" s="14"/>
      <c r="F36" s="14"/>
      <c r="G36" s="13" t="str">
        <f>IF(B36=MIN(B35:B37),"✅ الأرخص","")&amp;IF(C36=MAX(C35:C37),"⭐ الأعلى تقييماً","")</f>
        <v>✅ الأرخص⭐ الأعلى تقييماً</v>
      </c>
    </row>
    <row r="37" spans="1:7" ht="16.5" customHeight="1" x14ac:dyDescent="0.35">
      <c r="A37" s="14" t="s">
        <v>97</v>
      </c>
      <c r="B37" s="9">
        <v>0</v>
      </c>
      <c r="C37" s="22">
        <v>0</v>
      </c>
      <c r="D37" s="14"/>
      <c r="E37" s="14"/>
      <c r="F37" s="14"/>
      <c r="G37" s="13" t="str">
        <f>IF(B37=MIN(B35:B37),"✅ الأرخص","")&amp;IF(C37=MAX(C35:C37),"⭐ الأعلى تقييماً","")</f>
        <v>✅ الأرخص⭐ الأعلى تقييماً</v>
      </c>
    </row>
    <row r="43" spans="1:7" ht="21.75" customHeight="1" x14ac:dyDescent="0.35">
      <c r="A43" s="1" t="s">
        <v>101</v>
      </c>
      <c r="B43" s="1"/>
      <c r="C43" s="1"/>
      <c r="D43" s="1"/>
      <c r="E43" s="1"/>
      <c r="F43" s="1"/>
      <c r="G43" s="1"/>
    </row>
    <row r="44" spans="1:7" ht="19.5" customHeight="1" x14ac:dyDescent="0.35">
      <c r="A44" s="10" t="s">
        <v>26</v>
      </c>
      <c r="B44" s="10" t="s">
        <v>89</v>
      </c>
      <c r="C44" s="10" t="s">
        <v>90</v>
      </c>
      <c r="D44" s="10" t="s">
        <v>91</v>
      </c>
      <c r="E44" s="10" t="s">
        <v>92</v>
      </c>
      <c r="F44" s="10" t="s">
        <v>93</v>
      </c>
      <c r="G44" s="10" t="s">
        <v>94</v>
      </c>
    </row>
    <row r="45" spans="1:7" ht="16.5" customHeight="1" x14ac:dyDescent="0.35">
      <c r="A45" s="14" t="s">
        <v>95</v>
      </c>
      <c r="B45" s="9">
        <v>0</v>
      </c>
      <c r="C45" s="22">
        <v>0</v>
      </c>
      <c r="D45" s="14"/>
      <c r="E45" s="14"/>
      <c r="F45" s="14"/>
      <c r="G45" s="13" t="str">
        <f>IF(B45=MIN(B45:B47),"✅ الأرخص","")&amp;IF(C45=MAX(C45:C47),"⭐ الأعلى تقييماً","")</f>
        <v>✅ الأرخص⭐ الأعلى تقييماً</v>
      </c>
    </row>
    <row r="46" spans="1:7" ht="16.5" customHeight="1" x14ac:dyDescent="0.35">
      <c r="A46" s="14" t="s">
        <v>96</v>
      </c>
      <c r="B46" s="9">
        <v>0</v>
      </c>
      <c r="C46" s="22">
        <v>0</v>
      </c>
      <c r="D46" s="14"/>
      <c r="E46" s="14"/>
      <c r="F46" s="14"/>
      <c r="G46" s="13" t="str">
        <f>IF(B46=MIN(B45:B47),"✅ الأرخص","")&amp;IF(C46=MAX(C45:C47),"⭐ الأعلى تقييماً","")</f>
        <v>✅ الأرخص⭐ الأعلى تقييماً</v>
      </c>
    </row>
    <row r="47" spans="1:7" ht="16.5" customHeight="1" x14ac:dyDescent="0.35">
      <c r="A47" s="14" t="s">
        <v>97</v>
      </c>
      <c r="B47" s="9">
        <v>0</v>
      </c>
      <c r="C47" s="22">
        <v>0</v>
      </c>
      <c r="D47" s="14"/>
      <c r="E47" s="14"/>
      <c r="F47" s="14"/>
      <c r="G47" s="13" t="str">
        <f>IF(B47=MIN(B45:B47),"✅ الأرخص","")&amp;IF(C47=MAX(C45:C47),"⭐ الأعلى تقييماً","")</f>
        <v>✅ الأرخص⭐ الأعلى تقييماً</v>
      </c>
    </row>
    <row r="53" spans="1:1" x14ac:dyDescent="0.35">
      <c r="A53" s="15" t="s">
        <v>45</v>
      </c>
    </row>
    <row r="54" spans="1:1" ht="12.75" customHeight="1" x14ac:dyDescent="0.35">
      <c r="A54" s="16" t="s">
        <v>46</v>
      </c>
    </row>
    <row r="55" spans="1:1" ht="12.75" customHeight="1" x14ac:dyDescent="0.35">
      <c r="A55" s="17" t="s">
        <v>47</v>
      </c>
    </row>
    <row r="56" spans="1:1" ht="12.75" customHeight="1" x14ac:dyDescent="0.35">
      <c r="A56" s="18" t="s">
        <v>48</v>
      </c>
    </row>
    <row r="57" spans="1:1" ht="12.75" customHeight="1" x14ac:dyDescent="0.35">
      <c r="A57" s="19" t="s">
        <v>49</v>
      </c>
    </row>
  </sheetData>
  <mergeCells count="6">
    <mergeCell ref="A43:G43"/>
    <mergeCell ref="A1:G1"/>
    <mergeCell ref="A3:G3"/>
    <mergeCell ref="A13:G13"/>
    <mergeCell ref="A23:G23"/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rightToLeft="1" topLeftCell="A24" zoomScaleNormal="100" workbookViewId="0">
      <selection activeCell="G12" sqref="G12"/>
    </sheetView>
  </sheetViews>
  <sheetFormatPr defaultColWidth="8.6328125" defaultRowHeight="14.5" x14ac:dyDescent="0.35"/>
  <cols>
    <col min="1" max="1" width="20" customWidth="1"/>
    <col min="2" max="3" width="14" customWidth="1"/>
    <col min="4" max="5" width="12" customWidth="1"/>
    <col min="6" max="6" width="18" customWidth="1"/>
    <col min="7" max="7" width="12" customWidth="1"/>
    <col min="8" max="8" width="16" customWidth="1"/>
  </cols>
  <sheetData>
    <row r="1" spans="1:8" ht="27.75" customHeight="1" x14ac:dyDescent="0.35">
      <c r="A1" s="2" t="s">
        <v>102</v>
      </c>
      <c r="B1" s="2"/>
      <c r="C1" s="2"/>
      <c r="D1" s="2"/>
      <c r="E1" s="2"/>
      <c r="F1" s="2"/>
      <c r="G1" s="2"/>
      <c r="H1" s="2"/>
    </row>
    <row r="3" spans="1:8" ht="16.5" customHeight="1" x14ac:dyDescent="0.35">
      <c r="A3" s="8" t="s">
        <v>103</v>
      </c>
      <c r="B3" s="9">
        <v>0</v>
      </c>
      <c r="D3" s="8" t="s">
        <v>104</v>
      </c>
      <c r="E3" s="12">
        <f>COUNTIF(E8:E200,"✅ حضور")</f>
        <v>0</v>
      </c>
    </row>
    <row r="4" spans="1:8" ht="16.5" customHeight="1" x14ac:dyDescent="0.35">
      <c r="A4" s="8" t="s">
        <v>105</v>
      </c>
      <c r="B4" s="12">
        <f>COUNTIF(E8:E200,"❌ اعتذار")</f>
        <v>0</v>
      </c>
      <c r="D4" s="8" t="s">
        <v>106</v>
      </c>
      <c r="E4" s="12">
        <f>COUNTIF(E8:E200,"⏳ انتظار")</f>
        <v>19</v>
      </c>
    </row>
    <row r="6" spans="1:8" ht="19.5" customHeight="1" x14ac:dyDescent="0.35">
      <c r="A6" s="10" t="s">
        <v>107</v>
      </c>
      <c r="B6" s="10" t="s">
        <v>108</v>
      </c>
      <c r="C6" s="10" t="s">
        <v>109</v>
      </c>
      <c r="D6" s="10" t="s">
        <v>110</v>
      </c>
      <c r="E6" s="10" t="s">
        <v>111</v>
      </c>
      <c r="F6" s="10" t="s">
        <v>112</v>
      </c>
      <c r="G6" s="10" t="s">
        <v>113</v>
      </c>
      <c r="H6" s="10" t="s">
        <v>27</v>
      </c>
    </row>
    <row r="7" spans="1:8" ht="15.75" customHeight="1" x14ac:dyDescent="0.35">
      <c r="A7" s="14"/>
      <c r="B7" s="14"/>
      <c r="C7" s="14"/>
      <c r="D7" s="22">
        <v>1</v>
      </c>
      <c r="E7" s="14" t="s">
        <v>114</v>
      </c>
      <c r="F7" s="14" t="s">
        <v>63</v>
      </c>
      <c r="G7" s="14"/>
      <c r="H7" s="14"/>
    </row>
    <row r="8" spans="1:8" ht="15.75" customHeight="1" x14ac:dyDescent="0.35">
      <c r="A8" s="14"/>
      <c r="B8" s="14"/>
      <c r="C8" s="14"/>
      <c r="D8" s="22">
        <v>1</v>
      </c>
      <c r="E8" s="14" t="s">
        <v>114</v>
      </c>
      <c r="F8" s="14" t="s">
        <v>63</v>
      </c>
      <c r="G8" s="14"/>
      <c r="H8" s="14"/>
    </row>
    <row r="9" spans="1:8" ht="15.75" customHeight="1" x14ac:dyDescent="0.35">
      <c r="A9" s="14"/>
      <c r="B9" s="14"/>
      <c r="C9" s="14"/>
      <c r="D9" s="22">
        <v>1</v>
      </c>
      <c r="E9" s="14" t="s">
        <v>114</v>
      </c>
      <c r="F9" s="14" t="s">
        <v>63</v>
      </c>
      <c r="G9" s="14"/>
      <c r="H9" s="14"/>
    </row>
    <row r="10" spans="1:8" ht="15.75" customHeight="1" x14ac:dyDescent="0.35">
      <c r="A10" s="14"/>
      <c r="B10" s="14"/>
      <c r="C10" s="14"/>
      <c r="D10" s="22">
        <v>1</v>
      </c>
      <c r="E10" s="14" t="s">
        <v>114</v>
      </c>
      <c r="F10" s="14" t="s">
        <v>63</v>
      </c>
      <c r="G10" s="14"/>
      <c r="H10" s="14"/>
    </row>
    <row r="11" spans="1:8" ht="15.75" customHeight="1" x14ac:dyDescent="0.35">
      <c r="A11" s="14"/>
      <c r="B11" s="14"/>
      <c r="C11" s="14"/>
      <c r="D11" s="22">
        <v>1</v>
      </c>
      <c r="E11" s="14" t="s">
        <v>114</v>
      </c>
      <c r="F11" s="14" t="s">
        <v>63</v>
      </c>
      <c r="G11" s="14"/>
      <c r="H11" s="14"/>
    </row>
    <row r="12" spans="1:8" ht="15.75" customHeight="1" x14ac:dyDescent="0.35">
      <c r="A12" s="14"/>
      <c r="B12" s="14"/>
      <c r="C12" s="14"/>
      <c r="D12" s="22">
        <v>1</v>
      </c>
      <c r="E12" s="14" t="s">
        <v>114</v>
      </c>
      <c r="F12" s="14" t="s">
        <v>63</v>
      </c>
      <c r="G12" s="14"/>
      <c r="H12" s="14"/>
    </row>
    <row r="13" spans="1:8" ht="15.75" customHeight="1" x14ac:dyDescent="0.35">
      <c r="A13" s="14"/>
      <c r="B13" s="14"/>
      <c r="C13" s="14"/>
      <c r="D13" s="22">
        <v>1</v>
      </c>
      <c r="E13" s="14" t="s">
        <v>114</v>
      </c>
      <c r="F13" s="14" t="s">
        <v>63</v>
      </c>
      <c r="G13" s="14"/>
      <c r="H13" s="14"/>
    </row>
    <row r="14" spans="1:8" ht="15.75" customHeight="1" x14ac:dyDescent="0.35">
      <c r="A14" s="14"/>
      <c r="B14" s="14"/>
      <c r="C14" s="14"/>
      <c r="D14" s="22">
        <v>1</v>
      </c>
      <c r="E14" s="14" t="s">
        <v>114</v>
      </c>
      <c r="F14" s="14" t="s">
        <v>63</v>
      </c>
      <c r="G14" s="14"/>
      <c r="H14" s="14"/>
    </row>
    <row r="15" spans="1:8" ht="15.75" customHeight="1" x14ac:dyDescent="0.35">
      <c r="A15" s="14"/>
      <c r="B15" s="14"/>
      <c r="C15" s="14"/>
      <c r="D15" s="22">
        <v>1</v>
      </c>
      <c r="E15" s="14" t="s">
        <v>114</v>
      </c>
      <c r="F15" s="14" t="s">
        <v>63</v>
      </c>
      <c r="G15" s="14"/>
      <c r="H15" s="14"/>
    </row>
    <row r="16" spans="1:8" ht="15.75" customHeight="1" x14ac:dyDescent="0.35">
      <c r="A16" s="14"/>
      <c r="B16" s="14"/>
      <c r="C16" s="14"/>
      <c r="D16" s="22">
        <v>1</v>
      </c>
      <c r="E16" s="14" t="s">
        <v>114</v>
      </c>
      <c r="F16" s="14" t="s">
        <v>63</v>
      </c>
      <c r="G16" s="14"/>
      <c r="H16" s="14"/>
    </row>
    <row r="17" spans="1:8" ht="15.75" customHeight="1" x14ac:dyDescent="0.35">
      <c r="A17" s="14"/>
      <c r="B17" s="14"/>
      <c r="C17" s="14"/>
      <c r="D17" s="22">
        <v>1</v>
      </c>
      <c r="E17" s="14" t="s">
        <v>114</v>
      </c>
      <c r="F17" s="14" t="s">
        <v>63</v>
      </c>
      <c r="G17" s="14"/>
      <c r="H17" s="14"/>
    </row>
    <row r="18" spans="1:8" ht="15.75" customHeight="1" x14ac:dyDescent="0.35">
      <c r="A18" s="14"/>
      <c r="B18" s="14"/>
      <c r="C18" s="14"/>
      <c r="D18" s="22">
        <v>1</v>
      </c>
      <c r="E18" s="14" t="s">
        <v>114</v>
      </c>
      <c r="F18" s="14" t="s">
        <v>63</v>
      </c>
      <c r="G18" s="14"/>
      <c r="H18" s="14"/>
    </row>
    <row r="19" spans="1:8" ht="15.75" customHeight="1" x14ac:dyDescent="0.35">
      <c r="A19" s="14"/>
      <c r="B19" s="14"/>
      <c r="C19" s="14"/>
      <c r="D19" s="22">
        <v>1</v>
      </c>
      <c r="E19" s="14" t="s">
        <v>114</v>
      </c>
      <c r="F19" s="14" t="s">
        <v>63</v>
      </c>
      <c r="G19" s="14"/>
      <c r="H19" s="14"/>
    </row>
    <row r="20" spans="1:8" ht="15.75" customHeight="1" x14ac:dyDescent="0.35">
      <c r="A20" s="14"/>
      <c r="B20" s="14"/>
      <c r="C20" s="14"/>
      <c r="D20" s="22">
        <v>1</v>
      </c>
      <c r="E20" s="14" t="s">
        <v>114</v>
      </c>
      <c r="F20" s="14" t="s">
        <v>63</v>
      </c>
      <c r="G20" s="14"/>
      <c r="H20" s="14"/>
    </row>
    <row r="21" spans="1:8" ht="15.75" customHeight="1" x14ac:dyDescent="0.35">
      <c r="A21" s="14"/>
      <c r="B21" s="14"/>
      <c r="C21" s="14"/>
      <c r="D21" s="22">
        <v>1</v>
      </c>
      <c r="E21" s="14" t="s">
        <v>114</v>
      </c>
      <c r="F21" s="14" t="s">
        <v>63</v>
      </c>
      <c r="G21" s="14"/>
      <c r="H21" s="14"/>
    </row>
    <row r="22" spans="1:8" ht="15.75" customHeight="1" x14ac:dyDescent="0.35">
      <c r="A22" s="14"/>
      <c r="B22" s="14"/>
      <c r="C22" s="14"/>
      <c r="D22" s="22">
        <v>1</v>
      </c>
      <c r="E22" s="14" t="s">
        <v>114</v>
      </c>
      <c r="F22" s="14" t="s">
        <v>63</v>
      </c>
      <c r="G22" s="14"/>
      <c r="H22" s="14"/>
    </row>
    <row r="23" spans="1:8" ht="15.75" customHeight="1" x14ac:dyDescent="0.35">
      <c r="A23" s="14"/>
      <c r="B23" s="14"/>
      <c r="C23" s="14"/>
      <c r="D23" s="22">
        <v>1</v>
      </c>
      <c r="E23" s="14" t="s">
        <v>114</v>
      </c>
      <c r="F23" s="14" t="s">
        <v>63</v>
      </c>
      <c r="G23" s="14"/>
      <c r="H23" s="14"/>
    </row>
    <row r="24" spans="1:8" ht="15.75" customHeight="1" x14ac:dyDescent="0.35">
      <c r="A24" s="14"/>
      <c r="B24" s="14"/>
      <c r="C24" s="14"/>
      <c r="D24" s="22">
        <v>1</v>
      </c>
      <c r="E24" s="14" t="s">
        <v>114</v>
      </c>
      <c r="F24" s="14" t="s">
        <v>63</v>
      </c>
      <c r="G24" s="14"/>
      <c r="H24" s="14"/>
    </row>
    <row r="25" spans="1:8" ht="15.75" customHeight="1" x14ac:dyDescent="0.35">
      <c r="A25" s="14"/>
      <c r="B25" s="14"/>
      <c r="C25" s="14"/>
      <c r="D25" s="22">
        <v>1</v>
      </c>
      <c r="E25" s="14" t="s">
        <v>114</v>
      </c>
      <c r="F25" s="14" t="s">
        <v>63</v>
      </c>
      <c r="G25" s="14"/>
      <c r="H25" s="14"/>
    </row>
    <row r="26" spans="1:8" ht="15.75" customHeight="1" x14ac:dyDescent="0.35">
      <c r="A26" s="14"/>
      <c r="B26" s="14"/>
      <c r="C26" s="14"/>
      <c r="D26" s="22">
        <v>1</v>
      </c>
      <c r="E26" s="14" t="s">
        <v>114</v>
      </c>
      <c r="F26" s="14" t="s">
        <v>63</v>
      </c>
      <c r="G26" s="14"/>
      <c r="H26" s="14"/>
    </row>
    <row r="30" spans="1:8" x14ac:dyDescent="0.35">
      <c r="A30" s="15" t="s">
        <v>45</v>
      </c>
    </row>
    <row r="31" spans="1:8" ht="12.75" customHeight="1" x14ac:dyDescent="0.35">
      <c r="A31" s="16" t="s">
        <v>46</v>
      </c>
    </row>
    <row r="32" spans="1:8" ht="12.75" customHeight="1" x14ac:dyDescent="0.35">
      <c r="A32" s="17" t="s">
        <v>47</v>
      </c>
    </row>
    <row r="33" spans="1:1" ht="12.75" customHeight="1" x14ac:dyDescent="0.35">
      <c r="A33" s="18" t="s">
        <v>48</v>
      </c>
    </row>
    <row r="34" spans="1:1" ht="12.75" customHeight="1" x14ac:dyDescent="0.35">
      <c r="A34" s="19" t="s">
        <v>49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rightToLeft="1" topLeftCell="A14" zoomScale="91" zoomScaleNormal="100" workbookViewId="0">
      <selection activeCell="C31" sqref="C31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16" customWidth="1"/>
    <col min="4" max="5" width="18" customWidth="1"/>
  </cols>
  <sheetData>
    <row r="1" spans="1:5" ht="27.75" customHeight="1" x14ac:dyDescent="0.35">
      <c r="A1" s="2" t="s">
        <v>115</v>
      </c>
      <c r="B1" s="2"/>
      <c r="C1" s="2"/>
      <c r="D1" s="2"/>
      <c r="E1" s="2"/>
    </row>
    <row r="3" spans="1:5" ht="16.5" customHeight="1" x14ac:dyDescent="0.35">
      <c r="A3" s="8" t="s">
        <v>116</v>
      </c>
      <c r="B3" s="14"/>
    </row>
    <row r="5" spans="1:5" ht="21.75" customHeight="1" x14ac:dyDescent="0.35">
      <c r="A5" s="1" t="s">
        <v>117</v>
      </c>
      <c r="B5" s="1"/>
      <c r="C5" s="1"/>
      <c r="D5" s="1"/>
      <c r="E5" s="1"/>
    </row>
    <row r="6" spans="1:5" ht="19.5" customHeight="1" x14ac:dyDescent="0.35">
      <c r="A6" s="10" t="s">
        <v>118</v>
      </c>
      <c r="B6" s="10" t="s">
        <v>53</v>
      </c>
      <c r="C6" s="10" t="s">
        <v>119</v>
      </c>
      <c r="D6" s="10" t="s">
        <v>55</v>
      </c>
      <c r="E6" s="10" t="s">
        <v>27</v>
      </c>
    </row>
    <row r="7" spans="1:5" ht="16.5" customHeight="1" x14ac:dyDescent="0.35">
      <c r="A7" s="11" t="s">
        <v>120</v>
      </c>
      <c r="B7" s="8" t="s">
        <v>121</v>
      </c>
      <c r="C7" s="21" t="s">
        <v>122</v>
      </c>
      <c r="D7" s="8" t="s">
        <v>67</v>
      </c>
      <c r="E7" s="8"/>
    </row>
    <row r="8" spans="1:5" ht="16.5" customHeight="1" x14ac:dyDescent="0.35">
      <c r="A8" s="11" t="s">
        <v>123</v>
      </c>
      <c r="B8" s="8" t="s">
        <v>124</v>
      </c>
      <c r="C8" s="21" t="s">
        <v>125</v>
      </c>
      <c r="D8" s="8" t="s">
        <v>67</v>
      </c>
      <c r="E8" s="8"/>
    </row>
    <row r="9" spans="1:5" ht="16.5" customHeight="1" x14ac:dyDescent="0.35">
      <c r="A9" s="11" t="s">
        <v>126</v>
      </c>
      <c r="B9" s="8" t="s">
        <v>127</v>
      </c>
      <c r="C9" s="21" t="s">
        <v>125</v>
      </c>
      <c r="D9" s="8" t="s">
        <v>67</v>
      </c>
      <c r="E9" s="8"/>
    </row>
    <row r="10" spans="1:5" ht="16.5" customHeight="1" x14ac:dyDescent="0.35">
      <c r="A10" s="11" t="s">
        <v>128</v>
      </c>
      <c r="B10" s="8" t="s">
        <v>129</v>
      </c>
      <c r="C10" s="21" t="s">
        <v>122</v>
      </c>
      <c r="D10" s="8" t="s">
        <v>130</v>
      </c>
      <c r="E10" s="8"/>
    </row>
    <row r="11" spans="1:5" ht="16.5" customHeight="1" x14ac:dyDescent="0.35">
      <c r="A11" s="11" t="s">
        <v>131</v>
      </c>
      <c r="B11" s="8" t="s">
        <v>132</v>
      </c>
      <c r="C11" s="21"/>
      <c r="D11" s="8"/>
      <c r="E11" s="8"/>
    </row>
    <row r="12" spans="1:5" ht="16.5" customHeight="1" x14ac:dyDescent="0.35">
      <c r="A12" s="11" t="s">
        <v>133</v>
      </c>
      <c r="B12" s="8" t="s">
        <v>134</v>
      </c>
      <c r="C12" s="21" t="s">
        <v>135</v>
      </c>
      <c r="D12" s="8"/>
      <c r="E12" s="8"/>
    </row>
    <row r="13" spans="1:5" ht="16.5" customHeight="1" x14ac:dyDescent="0.35">
      <c r="A13" s="11" t="s">
        <v>136</v>
      </c>
      <c r="B13" s="8" t="s">
        <v>137</v>
      </c>
      <c r="C13" s="21" t="s">
        <v>135</v>
      </c>
      <c r="D13" s="8"/>
      <c r="E13" s="8"/>
    </row>
    <row r="14" spans="1:5" ht="16.5" customHeight="1" x14ac:dyDescent="0.35">
      <c r="A14" s="11" t="s">
        <v>138</v>
      </c>
      <c r="B14" s="8" t="s">
        <v>139</v>
      </c>
      <c r="C14" s="21" t="s">
        <v>135</v>
      </c>
      <c r="D14" s="8"/>
      <c r="E14" s="8"/>
    </row>
    <row r="15" spans="1:5" ht="16.5" customHeight="1" x14ac:dyDescent="0.35">
      <c r="A15" s="11" t="s">
        <v>140</v>
      </c>
      <c r="B15" s="8" t="s">
        <v>141</v>
      </c>
      <c r="C15" s="21" t="s">
        <v>135</v>
      </c>
      <c r="D15" s="8"/>
      <c r="E15" s="8"/>
    </row>
    <row r="17" spans="1:5" ht="21.75" customHeight="1" x14ac:dyDescent="0.35">
      <c r="A17" s="1" t="s">
        <v>142</v>
      </c>
      <c r="B17" s="1"/>
      <c r="C17" s="1"/>
      <c r="D17" s="1"/>
      <c r="E17" s="1"/>
    </row>
    <row r="18" spans="1:5" ht="19.5" customHeight="1" x14ac:dyDescent="0.35">
      <c r="A18" s="10" t="s">
        <v>118</v>
      </c>
      <c r="B18" s="10" t="s">
        <v>53</v>
      </c>
      <c r="C18" s="10" t="s">
        <v>119</v>
      </c>
      <c r="D18" s="10" t="s">
        <v>55</v>
      </c>
      <c r="E18" s="10" t="s">
        <v>27</v>
      </c>
    </row>
    <row r="19" spans="1:5" ht="16.5" customHeight="1" x14ac:dyDescent="0.35">
      <c r="A19" s="11" t="s">
        <v>143</v>
      </c>
      <c r="B19" s="8" t="s">
        <v>144</v>
      </c>
      <c r="C19" s="21" t="s">
        <v>122</v>
      </c>
      <c r="D19" s="8" t="s">
        <v>63</v>
      </c>
      <c r="E19" s="8"/>
    </row>
    <row r="20" spans="1:5" ht="16.5" customHeight="1" x14ac:dyDescent="0.35">
      <c r="A20" s="11" t="s">
        <v>126</v>
      </c>
      <c r="B20" s="8" t="s">
        <v>145</v>
      </c>
      <c r="C20" s="21" t="s">
        <v>122</v>
      </c>
      <c r="D20" s="8" t="s">
        <v>146</v>
      </c>
      <c r="E20" s="8"/>
    </row>
    <row r="21" spans="1:5" ht="16.5" customHeight="1" x14ac:dyDescent="0.35">
      <c r="A21" s="11" t="s">
        <v>128</v>
      </c>
      <c r="B21" s="8" t="s">
        <v>147</v>
      </c>
      <c r="C21" s="21" t="s">
        <v>135</v>
      </c>
      <c r="D21" s="8" t="s">
        <v>63</v>
      </c>
      <c r="E21" s="8"/>
    </row>
    <row r="22" spans="1:5" ht="16.5" customHeight="1" x14ac:dyDescent="0.35">
      <c r="A22" s="11" t="s">
        <v>131</v>
      </c>
      <c r="B22" s="8" t="s">
        <v>148</v>
      </c>
      <c r="C22" s="21" t="s">
        <v>135</v>
      </c>
      <c r="D22" s="8" t="s">
        <v>149</v>
      </c>
      <c r="E22" s="8"/>
    </row>
    <row r="23" spans="1:5" ht="16.5" customHeight="1" x14ac:dyDescent="0.35">
      <c r="A23" s="11" t="s">
        <v>136</v>
      </c>
      <c r="B23" s="8" t="s">
        <v>150</v>
      </c>
      <c r="C23" s="21" t="s">
        <v>135</v>
      </c>
      <c r="D23" s="8"/>
      <c r="E23" s="8"/>
    </row>
    <row r="24" spans="1:5" ht="16.5" customHeight="1" x14ac:dyDescent="0.35">
      <c r="A24" s="11" t="s">
        <v>151</v>
      </c>
      <c r="B24" s="8" t="s">
        <v>152</v>
      </c>
      <c r="C24" s="21" t="s">
        <v>135</v>
      </c>
      <c r="D24" s="8"/>
      <c r="E24" s="8"/>
    </row>
    <row r="25" spans="1:5" ht="16.5" customHeight="1" x14ac:dyDescent="0.35">
      <c r="A25" s="11" t="s">
        <v>138</v>
      </c>
      <c r="B25" s="8" t="s">
        <v>139</v>
      </c>
      <c r="C25" s="21" t="s">
        <v>135</v>
      </c>
      <c r="D25" s="8"/>
      <c r="E25" s="8"/>
    </row>
    <row r="27" spans="1:5" x14ac:dyDescent="0.35">
      <c r="A27" s="15" t="s">
        <v>45</v>
      </c>
    </row>
    <row r="28" spans="1:5" ht="12.75" customHeight="1" x14ac:dyDescent="0.35">
      <c r="A28" s="16" t="s">
        <v>46</v>
      </c>
    </row>
    <row r="29" spans="1:5" ht="12.75" customHeight="1" x14ac:dyDescent="0.35">
      <c r="A29" s="17" t="s">
        <v>47</v>
      </c>
    </row>
    <row r="30" spans="1:5" ht="12.75" customHeight="1" x14ac:dyDescent="0.35">
      <c r="A30" s="18" t="s">
        <v>48</v>
      </c>
    </row>
    <row r="31" spans="1:5" ht="12.75" customHeight="1" x14ac:dyDescent="0.35">
      <c r="A31" s="19" t="s">
        <v>49</v>
      </c>
    </row>
  </sheetData>
  <mergeCells count="3">
    <mergeCell ref="A1:E1"/>
    <mergeCell ref="A5:E5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ميزانية الزواج</vt:lpstr>
      <vt:lpstr>قائمة مهام الزواج</vt:lpstr>
      <vt:lpstr>مقارنة الموردين</vt:lpstr>
      <vt:lpstr>إدارة المدعوين</vt:lpstr>
      <vt:lpstr>العد التنازلي والجدول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2026-06-12T05:52:46Z</dcterms:created>
  <dcterms:modified xsi:type="dcterms:W3CDTF">2026-06-13T17:09:24Z</dcterms:modified>
  <dc:language>en-US</dc:language>
</cp:coreProperties>
</file>