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bdul\Downloads\مجلد جديد\"/>
    </mc:Choice>
  </mc:AlternateContent>
  <xr:revisionPtr revIDLastSave="0" documentId="13_ncr:1_{BB360AC7-9B38-44A7-81A5-C1002C219153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الغلاف" sheetId="1" r:id="rId1"/>
    <sheet name="فارز الأسهم" sheetId="2" r:id="rId2"/>
    <sheet name="التحليل الأساسي" sheetId="3" r:id="rId3"/>
    <sheet name="الفحص الشرعي" sheetId="4" r:id="rId4"/>
    <sheet name="مقارنة القطاعات" sheetId="5" r:id="rId5"/>
    <sheet name="متابعة المحفظة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4" i="6" l="1"/>
  <c r="I14" i="6"/>
  <c r="H14" i="6"/>
  <c r="G14" i="6"/>
  <c r="F14" i="6"/>
  <c r="G13" i="6"/>
  <c r="H13" i="6" s="1"/>
  <c r="F13" i="6"/>
  <c r="K13" i="6" s="1"/>
  <c r="I12" i="6"/>
  <c r="G12" i="6"/>
  <c r="H12" i="6" s="1"/>
  <c r="F12" i="6"/>
  <c r="K12" i="6" s="1"/>
  <c r="K11" i="6"/>
  <c r="J11" i="6"/>
  <c r="G11" i="6"/>
  <c r="H11" i="6" s="1"/>
  <c r="F11" i="6"/>
  <c r="I11" i="6" s="1"/>
  <c r="K10" i="6"/>
  <c r="I10" i="6"/>
  <c r="H10" i="6"/>
  <c r="G10" i="6"/>
  <c r="F10" i="6"/>
  <c r="G9" i="6"/>
  <c r="H9" i="6" s="1"/>
  <c r="F9" i="6"/>
  <c r="K9" i="6" s="1"/>
  <c r="I8" i="6"/>
  <c r="G8" i="6"/>
  <c r="H8" i="6" s="1"/>
  <c r="F8" i="6"/>
  <c r="K8" i="6" s="1"/>
  <c r="K7" i="6"/>
  <c r="J7" i="6"/>
  <c r="G7" i="6"/>
  <c r="H7" i="6" s="1"/>
  <c r="F7" i="6"/>
  <c r="I7" i="6" s="1"/>
  <c r="K6" i="6"/>
  <c r="I6" i="6"/>
  <c r="H6" i="6"/>
  <c r="G6" i="6"/>
  <c r="F6" i="6"/>
  <c r="G5" i="6"/>
  <c r="H5" i="6" s="1"/>
  <c r="F5" i="6"/>
  <c r="K5" i="6" s="1"/>
  <c r="I4" i="6"/>
  <c r="G4" i="6"/>
  <c r="H4" i="6" s="1"/>
  <c r="F4" i="6"/>
  <c r="K4" i="6" s="1"/>
  <c r="K3" i="6"/>
  <c r="J3" i="6"/>
  <c r="G3" i="6"/>
  <c r="J12" i="6" s="1"/>
  <c r="F3" i="6"/>
  <c r="I3" i="6" s="1"/>
  <c r="H11" i="5"/>
  <c r="H10" i="5"/>
  <c r="H9" i="5"/>
  <c r="H8" i="5"/>
  <c r="H7" i="5"/>
  <c r="H6" i="5"/>
  <c r="H5" i="5"/>
  <c r="H4" i="5"/>
  <c r="H3" i="5"/>
  <c r="A24" i="4"/>
  <c r="D21" i="4"/>
  <c r="D20" i="4"/>
  <c r="D19" i="4"/>
  <c r="D18" i="4"/>
  <c r="B36" i="3"/>
  <c r="B37" i="3" s="1"/>
  <c r="B38" i="3" s="1"/>
  <c r="B28" i="3"/>
  <c r="B27" i="3"/>
  <c r="B26" i="3"/>
  <c r="D25" i="3"/>
  <c r="B25" i="3"/>
  <c r="E18" i="3"/>
  <c r="C17" i="3"/>
  <c r="B17" i="3"/>
  <c r="B24" i="3" s="1"/>
  <c r="D24" i="3" s="1"/>
  <c r="E16" i="3"/>
  <c r="D15" i="3"/>
  <c r="D17" i="3" s="1"/>
  <c r="C15" i="3"/>
  <c r="B15" i="3"/>
  <c r="E15" i="3" s="1"/>
  <c r="E14" i="3"/>
  <c r="D13" i="3"/>
  <c r="E13" i="3" s="1"/>
  <c r="C13" i="3"/>
  <c r="B13" i="3"/>
  <c r="E12" i="3"/>
  <c r="E11" i="3"/>
  <c r="N15" i="2"/>
  <c r="M15" i="2"/>
  <c r="H15" i="2"/>
  <c r="F15" i="2"/>
  <c r="N14" i="2"/>
  <c r="M14" i="2"/>
  <c r="H14" i="2"/>
  <c r="F14" i="2"/>
  <c r="N13" i="2"/>
  <c r="M13" i="2"/>
  <c r="H13" i="2"/>
  <c r="F13" i="2"/>
  <c r="N12" i="2"/>
  <c r="M12" i="2"/>
  <c r="H12" i="2"/>
  <c r="F12" i="2"/>
  <c r="H11" i="2"/>
  <c r="F11" i="2"/>
  <c r="M11" i="2" s="1"/>
  <c r="N11" i="2" s="1"/>
  <c r="M10" i="2"/>
  <c r="N10" i="2" s="1"/>
  <c r="H10" i="2"/>
  <c r="F10" i="2"/>
  <c r="H9" i="2"/>
  <c r="F9" i="2"/>
  <c r="M9" i="2" s="1"/>
  <c r="N9" i="2" s="1"/>
  <c r="M8" i="2"/>
  <c r="N8" i="2" s="1"/>
  <c r="H8" i="2"/>
  <c r="F8" i="2"/>
  <c r="H7" i="2"/>
  <c r="F7" i="2"/>
  <c r="M7" i="2" s="1"/>
  <c r="N7" i="2" s="1"/>
  <c r="M6" i="2"/>
  <c r="N6" i="2" s="1"/>
  <c r="H6" i="2"/>
  <c r="F6" i="2"/>
  <c r="H5" i="2"/>
  <c r="F5" i="2"/>
  <c r="M5" i="2" s="1"/>
  <c r="N5" i="2" s="1"/>
  <c r="M4" i="2"/>
  <c r="N4" i="2" s="1"/>
  <c r="H4" i="2"/>
  <c r="F4" i="2"/>
  <c r="J6" i="6" l="1"/>
  <c r="J10" i="6"/>
  <c r="J14" i="6"/>
  <c r="I5" i="6"/>
  <c r="I9" i="6"/>
  <c r="I13" i="6"/>
  <c r="E17" i="3"/>
  <c r="J5" i="6"/>
  <c r="J9" i="6"/>
  <c r="J13" i="6"/>
  <c r="F15" i="6"/>
  <c r="I15" i="6" s="1"/>
  <c r="G15" i="6"/>
  <c r="H3" i="6"/>
  <c r="H15" i="6" s="1"/>
  <c r="J4" i="6"/>
  <c r="J8" i="6"/>
</calcChain>
</file>

<file path=xl/sharedStrings.xml><?xml version="1.0" encoding="utf-8"?>
<sst xmlns="http://schemas.openxmlformats.org/spreadsheetml/2006/main" count="197" uniqueCount="159">
  <si>
    <t>أدوات تحليل أسهم سوق تداول السعودي</t>
  </si>
  <si>
    <t>تقييم · فرز · تحليل أساسي · متابعة محفظة · شاشة السوق</t>
  </si>
  <si>
    <t>📊 الفرز والتصفية</t>
  </si>
  <si>
    <t>💹 التحليل الأساسي</t>
  </si>
  <si>
    <t>🎯 نموذج التقييم</t>
  </si>
  <si>
    <t>ابحث عن أفضل الأسهم</t>
  </si>
  <si>
    <t>مضاعفات التقييم كاملة</t>
  </si>
  <si>
    <t>القيمة العادلة للسهم</t>
  </si>
  <si>
    <t>📈 متابعة المحفظة</t>
  </si>
  <si>
    <t>🔍 الفحص الشرعي</t>
  </si>
  <si>
    <t>📋 مقارنة القطاعات</t>
  </si>
  <si>
    <t>أداء استثماراتك</t>
  </si>
  <si>
    <t>توافق مع ضوابط الاستثمار</t>
  </si>
  <si>
    <t>أفضل القطاعات أداءً</t>
  </si>
  <si>
    <t>فارز أسهم سوق تداول – ابحث عن الفرص الاستثمارية</t>
  </si>
  <si>
    <t>أدخل بيانات الأسهم في الخلايا الزرقاء – تُحسب النتائج تلقائياً</t>
  </si>
  <si>
    <t>رمز السهم</t>
  </si>
  <si>
    <t>اسم الشركة</t>
  </si>
  <si>
    <t>القطاع</t>
  </si>
  <si>
    <t>السعر الحالي (ريال)</t>
  </si>
  <si>
    <t>ربحية السهم EPS</t>
  </si>
  <si>
    <t>مضاعف P/E</t>
  </si>
  <si>
    <t>القيمة الدفترية/سهم</t>
  </si>
  <si>
    <t>P/B</t>
  </si>
  <si>
    <t>توزيع الأرباح %</t>
  </si>
  <si>
    <t>نسبة الدين للحقوق</t>
  </si>
  <si>
    <t>هامش الربح %</t>
  </si>
  <si>
    <t>نمو الأرباح %</t>
  </si>
  <si>
    <t>درجة التقييم /10</t>
  </si>
  <si>
    <t>التوصية</t>
  </si>
  <si>
    <t>2222</t>
  </si>
  <si>
    <t>أرامكو السعودية</t>
  </si>
  <si>
    <t>طاقة</t>
  </si>
  <si>
    <t>1120</t>
  </si>
  <si>
    <t>مصرف الراجحي</t>
  </si>
  <si>
    <t>مصارف</t>
  </si>
  <si>
    <t>2010</t>
  </si>
  <si>
    <t>سابك</t>
  </si>
  <si>
    <t>بتروكيماويات</t>
  </si>
  <si>
    <t>7010</t>
  </si>
  <si>
    <t>الاتصالات السعودية</t>
  </si>
  <si>
    <t>اتصالات</t>
  </si>
  <si>
    <t>1211</t>
  </si>
  <si>
    <t>معادن</t>
  </si>
  <si>
    <t>تعدين</t>
  </si>
  <si>
    <t>2380</t>
  </si>
  <si>
    <t>بترو رابغ</t>
  </si>
  <si>
    <t>4001</t>
  </si>
  <si>
    <t>هرفي للأغذية</t>
  </si>
  <si>
    <t>استهلاكي</t>
  </si>
  <si>
    <t>8010</t>
  </si>
  <si>
    <t>سلامة</t>
  </si>
  <si>
    <t>تأمين</t>
  </si>
  <si>
    <t>🔑 دليل الألوان:</t>
  </si>
  <si>
    <t xml:space="preserve">  خلايا الإدخال – أدخل بياناتك</t>
  </si>
  <si>
    <t xml:space="preserve">  خلايا محسوبة – لا تعدّل</t>
  </si>
  <si>
    <t xml:space="preserve">  نتائج رئيسية</t>
  </si>
  <si>
    <t xml:space="preserve">  تحذير / سلبي</t>
  </si>
  <si>
    <t>نموذج التحليل الأساسي التفصيلي للسهم</t>
  </si>
  <si>
    <t>بيانات الشركة</t>
  </si>
  <si>
    <t>تاريخ التحليل</t>
  </si>
  <si>
    <t>قائمة الدخل (آخر 3 سنوات – مليون ريال)</t>
  </si>
  <si>
    <t>البيان</t>
  </si>
  <si>
    <t>السنة الأولى</t>
  </si>
  <si>
    <t>السنة الثانية</t>
  </si>
  <si>
    <t>السنة الثالثة (الأحدث)</t>
  </si>
  <si>
    <t>نمو سنوي (CAGR)</t>
  </si>
  <si>
    <t>إجمالي الإيرادات</t>
  </si>
  <si>
    <t>تكلفة الإيرادات</t>
  </si>
  <si>
    <t>مجمل الربح</t>
  </si>
  <si>
    <t>المصاريف التشغيلية</t>
  </si>
  <si>
    <t>الربح التشغيلي (EBIT)</t>
  </si>
  <si>
    <t>صافي الربح</t>
  </si>
  <si>
    <t>ربحية السهم EPS (ريال)</t>
  </si>
  <si>
    <t>عدد الأسهم (مليون)</t>
  </si>
  <si>
    <t>مضاعفات التقييم</t>
  </si>
  <si>
    <t>المضاعف</t>
  </si>
  <si>
    <t>القيمة الحالية</t>
  </si>
  <si>
    <t>المعيار (السوق)</t>
  </si>
  <si>
    <t>التقييم</t>
  </si>
  <si>
    <t>الوصف</t>
  </si>
  <si>
    <t>سعر السهم (ريال)</t>
  </si>
  <si>
    <t>مضاعف الربحية P/E</t>
  </si>
  <si>
    <t>15-20x</t>
  </si>
  <si>
    <t>كلما انخفض دل على رخص السهم نسبياً</t>
  </si>
  <si>
    <t>مضاعف القيمة الدفترية P/B</t>
  </si>
  <si>
    <t>1-3x</t>
  </si>
  <si>
    <t>أقل من 1 يعني السهم أرخص من أصوله</t>
  </si>
  <si>
    <t>مضاعف المبيعات P/S</t>
  </si>
  <si>
    <t>1-4x</t>
  </si>
  <si>
    <t>-</t>
  </si>
  <si>
    <t>يفيد للشركات ذات هوامش منخفضة</t>
  </si>
  <si>
    <t>عائد الأرباح Dividend Yield</t>
  </si>
  <si>
    <t>3-6%</t>
  </si>
  <si>
    <t>كلما ارتفع كان أفضل للمستثمر الدخلي</t>
  </si>
  <si>
    <t>مضاعف EV/EBITDA</t>
  </si>
  <si>
    <t>8-12x</t>
  </si>
  <si>
    <t>يقارن قيمة المنشأة بالأرباح التشغيلية</t>
  </si>
  <si>
    <t>تقدير القيمة العادلة (نموذج مبسط)</t>
  </si>
  <si>
    <t>EPS المتوقع السنة القادمة (ريال)</t>
  </si>
  <si>
    <t>معدل النمو المتوقع 5 سنوات %</t>
  </si>
  <si>
    <t>P/E المستهدف عند البيع</t>
  </si>
  <si>
    <t>معدل الخصم (تكلفة رأس المال) %</t>
  </si>
  <si>
    <t>⭐ القيمة العادلة المقدرة (ريال)</t>
  </si>
  <si>
    <t>هامش الأمان %</t>
  </si>
  <si>
    <t>الحكم</t>
  </si>
  <si>
    <t>فحص التوافق الشرعي للاستثمار في الأسهم</t>
  </si>
  <si>
    <t>استناداً لمعايير هيئة المحاسبة والمراجعة للمؤسسات المالية الإسلامية (AAOIFI)</t>
  </si>
  <si>
    <t>بيانات الشركة المُفحوصة</t>
  </si>
  <si>
    <t>اسم الشركة / الرمز</t>
  </si>
  <si>
    <t>أولاً: فحص النشاط الرئيسي</t>
  </si>
  <si>
    <t>المعيار</t>
  </si>
  <si>
    <t>النتيجة</t>
  </si>
  <si>
    <t>الملاحظات</t>
  </si>
  <si>
    <t>النشاط الرئيسي خالٍ من الربا والفائدة</t>
  </si>
  <si>
    <t>✅ متوافق</t>
  </si>
  <si>
    <t>الخدمات المصرفية الإسلامية مقبولة</t>
  </si>
  <si>
    <t>لا يشمل الكحول أو لحم الخنزير</t>
  </si>
  <si>
    <t>لا يشمل التبغ والسجائر</t>
  </si>
  <si>
    <t>لا يشمل الأسلحة المحرمة</t>
  </si>
  <si>
    <t>لا يشمل الإعلام الماجن</t>
  </si>
  <si>
    <t>نشاط الترفيه الحلال فقط</t>
  </si>
  <si>
    <t>السينما والترفيه العائلي مقبول</t>
  </si>
  <si>
    <t>ثانياً: الفحص المالي (النسب المالية)</t>
  </si>
  <si>
    <t>النسبة</t>
  </si>
  <si>
    <t>القيمة</t>
  </si>
  <si>
    <t>الحد الأقصى المسموح</t>
  </si>
  <si>
    <t>الديون الربوية ÷ إجمالي الأصول</t>
  </si>
  <si>
    <t>&lt; 33%</t>
  </si>
  <si>
    <t>الإيرادات غير المتوافقة ÷ إجمالي الإيرادات</t>
  </si>
  <si>
    <t>&lt; 5%</t>
  </si>
  <si>
    <t>الأوراق المالية الربوية ÷ إجمالي الأصول</t>
  </si>
  <si>
    <t>الحسابات المدينة ÷ إجمالي الأصول</t>
  </si>
  <si>
    <t>&lt; 45%</t>
  </si>
  <si>
    <t>الحكم الشرعي الإجمالي</t>
  </si>
  <si>
    <t>مقارنة أداء قطاعات سوق تداول</t>
  </si>
  <si>
    <t>متوسط P/E</t>
  </si>
  <si>
    <t>متوسط P/B</t>
  </si>
  <si>
    <t>متوسط العائد %</t>
  </si>
  <si>
    <t>عدد الشركات</t>
  </si>
  <si>
    <t>الوزن في TASI %</t>
  </si>
  <si>
    <t>المصارف والخدمات المالية</t>
  </si>
  <si>
    <t>المواد الأساسية والبتروكيماويات</t>
  </si>
  <si>
    <t>الطاقة (أرامكو)</t>
  </si>
  <si>
    <t>الاتصالات وتقنية المعلومات</t>
  </si>
  <si>
    <t>تجزئة وسلع استهلاكية</t>
  </si>
  <si>
    <t>الرعاية الصحية</t>
  </si>
  <si>
    <t>العقارات</t>
  </si>
  <si>
    <t>التأمين</t>
  </si>
  <si>
    <t>الأغذية والمشروبات</t>
  </si>
  <si>
    <t>متابعة محفظة الأسهم اليومية</t>
  </si>
  <si>
    <t>الاسم</t>
  </si>
  <si>
    <t>عدد الأسهم</t>
  </si>
  <si>
    <t>سعر الشراء (ريال)</t>
  </si>
  <si>
    <t>تكلفة الاستثمار</t>
  </si>
  <si>
    <t>الربح/الخسارة</t>
  </si>
  <si>
    <t>العائد %</t>
  </si>
  <si>
    <t>الوزن %</t>
  </si>
  <si>
    <t>الإجمالي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</si>
</sst>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21" x14ac:knownFonts="1">
    <font>
      <sz val="11"/>
      <color theme="1"/>
      <name val="Calibri"/>
      <family val="2"/>
      <charset val="1"/>
    </font>
    <font>
      <b/>
      <sz val="22"/>
      <color rgb="FFFFFFFF"/>
      <name val="Arial"/>
      <charset val="1"/>
    </font>
    <font>
      <sz val="11"/>
      <color rgb="FFC9A84C"/>
      <name val="Arial"/>
      <charset val="1"/>
    </font>
    <font>
      <b/>
      <sz val="10"/>
      <color rgb="FFFFFFFF"/>
      <name val="Arial"/>
      <charset val="1"/>
    </font>
    <font>
      <sz val="9"/>
      <color rgb="FF1F3864"/>
      <name val="Arial"/>
      <charset val="1"/>
    </font>
    <font>
      <b/>
      <sz val="13"/>
      <color rgb="FFFFFFFF"/>
      <name val="Arial"/>
      <charset val="1"/>
    </font>
    <font>
      <i/>
      <sz val="9"/>
      <color rgb="FF2E5FA3"/>
      <name val="Arial"/>
      <charset val="1"/>
    </font>
    <font>
      <b/>
      <sz val="9"/>
      <color rgb="FFFFFFFF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b/>
      <sz val="9"/>
      <color rgb="FF1F3864"/>
      <name val="Arial"/>
      <charset val="1"/>
    </font>
    <font>
      <sz val="8"/>
      <color rgb="FF0000FF"/>
      <name val="Arial"/>
      <charset val="1"/>
    </font>
    <font>
      <sz val="8"/>
      <color rgb="FF000000"/>
      <name val="Arial"/>
      <charset val="1"/>
    </font>
    <font>
      <sz val="8"/>
      <color rgb="FF375623"/>
      <name val="Arial"/>
      <charset val="1"/>
    </font>
    <font>
      <sz val="8"/>
      <color rgb="FF7B0000"/>
      <name val="Arial"/>
      <charset val="1"/>
    </font>
    <font>
      <b/>
      <sz val="11"/>
      <color rgb="FFFFFFFF"/>
      <name val="Arial"/>
      <charset val="1"/>
    </font>
    <font>
      <b/>
      <sz val="10"/>
      <color rgb="FF1F3864"/>
      <name val="Arial"/>
      <charset val="1"/>
    </font>
    <font>
      <b/>
      <sz val="10"/>
      <color rgb="FF375623"/>
      <name val="Arial"/>
      <charset val="1"/>
    </font>
    <font>
      <b/>
      <sz val="11"/>
      <color rgb="FF1F3864"/>
      <name val="Arial"/>
      <charset val="1"/>
    </font>
    <font>
      <b/>
      <sz val="12"/>
      <color rgb="FF1F3864"/>
      <name val="Arial"/>
      <charset val="1"/>
    </font>
    <font>
      <sz val="9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C9A84C"/>
        <bgColor rgb="FFFF9900"/>
      </patternFill>
    </fill>
    <fill>
      <patternFill patternType="solid">
        <fgColor rgb="FF2E5FA3"/>
        <bgColor rgb="FF3366FF"/>
      </patternFill>
    </fill>
    <fill>
      <patternFill patternType="solid">
        <fgColor rgb="FFDEEAF1"/>
        <bgColor rgb="FFE2EFDA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2F2F2"/>
      </patternFill>
    </fill>
  </fills>
  <borders count="6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/>
      <top style="medium">
        <color rgb="FF1F38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7" fillId="2" borderId="2" xfId="0" applyFont="1" applyFill="1" applyBorder="1" applyAlignment="1" applyProtection="1">
      <alignment horizontal="center" vertical="center" wrapText="1"/>
      <protection locked="0"/>
    </xf>
    <xf numFmtId="49" fontId="8" fillId="5" borderId="2" xfId="0" applyNumberFormat="1" applyFont="1" applyFill="1" applyBorder="1" applyAlignment="1" applyProtection="1">
      <alignment horizontal="right" vertical="center"/>
      <protection locked="0"/>
    </xf>
    <xf numFmtId="4" fontId="8" fillId="5" borderId="2" xfId="0" applyNumberFormat="1" applyFont="1" applyFill="1" applyBorder="1" applyAlignment="1" applyProtection="1">
      <alignment horizontal="right" vertical="center"/>
      <protection locked="0"/>
    </xf>
    <xf numFmtId="165" fontId="8" fillId="5" borderId="2" xfId="0" applyNumberFormat="1" applyFont="1" applyFill="1" applyBorder="1" applyAlignment="1" applyProtection="1">
      <alignment horizontal="right" vertical="center"/>
      <protection locked="0"/>
    </xf>
    <xf numFmtId="164" fontId="8" fillId="5" borderId="2" xfId="0" applyNumberFormat="1" applyFont="1" applyFill="1" applyBorder="1" applyAlignment="1" applyProtection="1">
      <alignment horizontal="right" vertical="center"/>
      <protection locked="0"/>
    </xf>
    <xf numFmtId="0" fontId="10" fillId="0" borderId="0" xfId="0" applyFont="1" applyProtection="1">
      <protection locked="0"/>
    </xf>
    <xf numFmtId="0" fontId="11" fillId="5" borderId="2" xfId="0" applyFont="1" applyFill="1" applyBorder="1" applyProtection="1">
      <protection locked="0"/>
    </xf>
    <xf numFmtId="0" fontId="12" fillId="6" borderId="2" xfId="0" applyFont="1" applyFill="1" applyBorder="1" applyProtection="1">
      <protection locked="0"/>
    </xf>
    <xf numFmtId="0" fontId="13" fillId="8" borderId="2" xfId="0" applyFont="1" applyFill="1" applyBorder="1" applyProtection="1">
      <protection locked="0"/>
    </xf>
    <xf numFmtId="0" fontId="14" fillId="9" borderId="2" xfId="0" applyFont="1" applyFill="1" applyBorder="1" applyProtection="1">
      <protection locked="0"/>
    </xf>
    <xf numFmtId="164" fontId="9" fillId="6" borderId="2" xfId="0" applyNumberFormat="1" applyFont="1" applyFill="1" applyBorder="1" applyAlignment="1" applyProtection="1">
      <alignment horizontal="right" vertical="center"/>
      <protection locked="0" hidden="1"/>
    </xf>
    <xf numFmtId="0" fontId="10" fillId="7" borderId="2" xfId="0" applyFont="1" applyFill="1" applyBorder="1" applyAlignment="1" applyProtection="1">
      <alignment horizontal="center" vertical="center" wrapText="1"/>
      <protection locked="0" hidden="1"/>
    </xf>
    <xf numFmtId="0" fontId="15" fillId="4" borderId="2" xfId="0" applyFont="1" applyFill="1" applyBorder="1" applyAlignment="1" applyProtection="1">
      <alignment horizontal="center" vertical="center" wrapText="1"/>
      <protection locked="0"/>
    </xf>
    <xf numFmtId="0" fontId="16" fillId="5" borderId="2" xfId="0" applyFont="1" applyFill="1" applyBorder="1" applyAlignment="1" applyProtection="1">
      <alignment horizontal="left" vertical="center" wrapText="1"/>
      <protection locked="0"/>
    </xf>
    <xf numFmtId="0" fontId="7" fillId="3" borderId="2" xfId="0" applyFont="1" applyFill="1" applyBorder="1" applyAlignment="1" applyProtection="1">
      <alignment horizontal="center" vertical="center" wrapText="1"/>
      <protection locked="0"/>
    </xf>
    <xf numFmtId="0" fontId="9" fillId="7" borderId="2" xfId="0" applyFont="1" applyFill="1" applyBorder="1" applyAlignment="1" applyProtection="1">
      <alignment horizontal="left" vertical="center" wrapText="1"/>
      <protection locked="0"/>
    </xf>
    <xf numFmtId="3" fontId="8" fillId="5" borderId="2" xfId="0" applyNumberFormat="1" applyFont="1" applyFill="1" applyBorder="1" applyAlignment="1" applyProtection="1">
      <alignment horizontal="right" vertical="center"/>
      <protection locked="0"/>
    </xf>
    <xf numFmtId="0" fontId="15" fillId="2" borderId="2" xfId="0" applyFont="1" applyFill="1" applyBorder="1" applyAlignment="1" applyProtection="1">
      <alignment horizontal="center" vertical="center" wrapText="1"/>
      <protection locked="0"/>
    </xf>
    <xf numFmtId="10" fontId="8" fillId="5" borderId="2" xfId="0" applyNumberFormat="1" applyFont="1" applyFill="1" applyBorder="1" applyAlignment="1" applyProtection="1">
      <alignment horizontal="right" vertical="center"/>
      <protection locked="0"/>
    </xf>
    <xf numFmtId="3" fontId="9" fillId="6" borderId="2" xfId="0" applyNumberFormat="1" applyFont="1" applyFill="1" applyBorder="1" applyAlignment="1" applyProtection="1">
      <alignment horizontal="right" vertical="center"/>
      <protection locked="0" hidden="1"/>
    </xf>
    <xf numFmtId="165" fontId="9" fillId="6" borderId="2" xfId="0" applyNumberFormat="1" applyFont="1" applyFill="1" applyBorder="1" applyAlignment="1" applyProtection="1">
      <alignment horizontal="right" vertical="center"/>
      <protection locked="0" hidden="1"/>
    </xf>
    <xf numFmtId="4" fontId="9" fillId="6" borderId="2" xfId="0" applyNumberFormat="1" applyFont="1" applyFill="1" applyBorder="1" applyAlignment="1" applyProtection="1">
      <alignment horizontal="right" vertical="center"/>
      <protection locked="0" hidden="1"/>
    </xf>
    <xf numFmtId="0" fontId="9" fillId="6" borderId="2" xfId="0" applyFont="1" applyFill="1" applyBorder="1" applyAlignment="1" applyProtection="1">
      <alignment horizontal="left" vertical="center" wrapText="1"/>
      <protection locked="0" hidden="1"/>
    </xf>
    <xf numFmtId="0" fontId="4" fillId="5" borderId="2" xfId="0" applyFont="1" applyFill="1" applyBorder="1" applyAlignment="1" applyProtection="1">
      <alignment horizontal="left" vertical="center" wrapText="1"/>
      <protection locked="0" hidden="1"/>
    </xf>
    <xf numFmtId="4" fontId="17" fillId="8" borderId="3" xfId="0" applyNumberFormat="1" applyFont="1" applyFill="1" applyBorder="1" applyAlignment="1" applyProtection="1">
      <alignment horizontal="right" vertical="center"/>
      <protection locked="0" hidden="1"/>
    </xf>
    <xf numFmtId="0" fontId="0" fillId="0" borderId="0" xfId="0" applyProtection="1">
      <protection locked="0" hidden="1"/>
    </xf>
    <xf numFmtId="165" fontId="17" fillId="8" borderId="3" xfId="0" applyNumberFormat="1" applyFont="1" applyFill="1" applyBorder="1" applyAlignment="1" applyProtection="1">
      <alignment horizontal="right" vertical="center"/>
      <protection locked="0" hidden="1"/>
    </xf>
    <xf numFmtId="0" fontId="18" fillId="8" borderId="4" xfId="0" applyFont="1" applyFill="1" applyBorder="1" applyAlignment="1" applyProtection="1">
      <alignment horizontal="left" vertical="center" wrapText="1"/>
      <protection locked="0" hidden="1"/>
    </xf>
    <xf numFmtId="0" fontId="7" fillId="2" borderId="2" xfId="0" applyFont="1" applyFill="1" applyBorder="1" applyAlignment="1" applyProtection="1">
      <alignment horizontal="center" vertical="center" wrapText="1"/>
      <protection locked="0"/>
    </xf>
    <xf numFmtId="0" fontId="9" fillId="6" borderId="1" xfId="0" applyFont="1" applyFill="1" applyBorder="1" applyAlignment="1" applyProtection="1">
      <alignment horizontal="left" vertical="center" wrapText="1"/>
      <protection locked="0"/>
    </xf>
    <xf numFmtId="0" fontId="15" fillId="2" borderId="1" xfId="0" applyFont="1" applyFill="1" applyBorder="1" applyAlignment="1" applyProtection="1">
      <alignment horizontal="center" vertical="center" wrapText="1"/>
      <protection locked="0"/>
    </xf>
    <xf numFmtId="0" fontId="16" fillId="5" borderId="1" xfId="0" applyFont="1" applyFill="1" applyBorder="1" applyAlignment="1" applyProtection="1">
      <alignment horizontal="left" vertical="center" wrapText="1"/>
      <protection locked="0" hidden="1"/>
    </xf>
    <xf numFmtId="0" fontId="19" fillId="8" borderId="5" xfId="0" applyFont="1" applyFill="1" applyBorder="1" applyAlignment="1" applyProtection="1">
      <alignment horizontal="center" vertical="center" wrapText="1"/>
      <protection locked="0" hidden="1"/>
    </xf>
    <xf numFmtId="0" fontId="9" fillId="5" borderId="2" xfId="0" applyFont="1" applyFill="1" applyBorder="1" applyAlignment="1" applyProtection="1">
      <alignment horizontal="left" vertical="center" wrapText="1"/>
      <protection locked="0"/>
    </xf>
    <xf numFmtId="1" fontId="8" fillId="5" borderId="2" xfId="0" applyNumberFormat="1" applyFont="1" applyFill="1" applyBorder="1" applyAlignment="1" applyProtection="1">
      <alignment horizontal="right" vertical="center"/>
      <protection locked="0"/>
    </xf>
    <xf numFmtId="0" fontId="20" fillId="7" borderId="2" xfId="0" applyFont="1" applyFill="1" applyBorder="1" applyAlignment="1" applyProtection="1">
      <alignment horizontal="center" vertical="center" wrapText="1"/>
      <protection locked="0" hidden="1"/>
    </xf>
    <xf numFmtId="0" fontId="3" fillId="4" borderId="2" xfId="0" applyFont="1" applyFill="1" applyBorder="1" applyAlignment="1" applyProtection="1">
      <alignment horizontal="center" vertical="center" wrapText="1"/>
      <protection locked="0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DEEAF1"/>
      <rgbColor rgb="FF660066"/>
      <rgbColor rgb="FFFF8080"/>
      <rgbColor rgb="FF2E5FA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4F81BD"/>
      <rgbColor rgb="FFC9A84C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ar-SA" sz="1800" b="1" strike="noStrike" spc="-1">
                <a:solidFill>
                  <a:srgbClr val="000000"/>
                </a:solidFill>
                <a:latin typeface="Calibri"/>
              </a:rPr>
              <a:t>مقارنة </a:t>
            </a: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P/E </a:t>
            </a:r>
            <a:r>
              <a:rPr lang="ar-SA" sz="1800" b="1" strike="noStrike" spc="-1">
                <a:solidFill>
                  <a:srgbClr val="000000"/>
                </a:solidFill>
                <a:latin typeface="Calibri"/>
              </a:rPr>
              <a:t>بين القطاعات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'مقارنة القطاعات'!$B$2</c:f>
              <c:strCache>
                <c:ptCount val="1"/>
                <c:pt idx="0">
                  <c:v>متوسط P/E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ar-S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'مقارنة القطاعات'!$A$3:$A$11</c:f>
              <c:strCache>
                <c:ptCount val="9"/>
                <c:pt idx="0">
                  <c:v>المصارف والخدمات المالية</c:v>
                </c:pt>
                <c:pt idx="1">
                  <c:v>المواد الأساسية والبتروكيماويات</c:v>
                </c:pt>
                <c:pt idx="2">
                  <c:v>الطاقة (أرامكو)</c:v>
                </c:pt>
                <c:pt idx="3">
                  <c:v>الاتصالات وتقنية المعلومات</c:v>
                </c:pt>
                <c:pt idx="4">
                  <c:v>تجزئة وسلع استهلاكية</c:v>
                </c:pt>
                <c:pt idx="5">
                  <c:v>الرعاية الصحية</c:v>
                </c:pt>
                <c:pt idx="6">
                  <c:v>العقارات</c:v>
                </c:pt>
                <c:pt idx="7">
                  <c:v>التأمين</c:v>
                </c:pt>
                <c:pt idx="8">
                  <c:v>الأغذية والمشروبات</c:v>
                </c:pt>
              </c:strCache>
            </c:strRef>
          </c:cat>
          <c:val>
            <c:numRef>
              <c:f>'مقارنة القطاعات'!$B$3:$B$11</c:f>
              <c:numCache>
                <c:formatCode>#,##0.0</c:formatCode>
                <c:ptCount val="9"/>
                <c:pt idx="0">
                  <c:v>14.2</c:v>
                </c:pt>
                <c:pt idx="1">
                  <c:v>18.5</c:v>
                </c:pt>
                <c:pt idx="2">
                  <c:v>15.1</c:v>
                </c:pt>
                <c:pt idx="3">
                  <c:v>17.8</c:v>
                </c:pt>
                <c:pt idx="4">
                  <c:v>22.4</c:v>
                </c:pt>
                <c:pt idx="5">
                  <c:v>28.6</c:v>
                </c:pt>
                <c:pt idx="6">
                  <c:v>19.2</c:v>
                </c:pt>
                <c:pt idx="7">
                  <c:v>16.8</c:v>
                </c:pt>
                <c:pt idx="8">
                  <c:v>21.5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49-406B-BE5A-F7E1D31F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89651"/>
        <c:axId val="45795695"/>
      </c:barChart>
      <c:catAx>
        <c:axId val="246896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ar-SA"/>
          </a:p>
        </c:txPr>
        <c:crossAx val="45795695"/>
        <c:crosses val="autoZero"/>
        <c:auto val="1"/>
        <c:lblAlgn val="ctr"/>
        <c:lblOffset val="100"/>
        <c:noMultiLvlLbl val="0"/>
      </c:catAx>
      <c:valAx>
        <c:axId val="4579569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ar-SA"/>
          </a:p>
        </c:txPr>
        <c:crossAx val="246896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ar-SA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-856080</xdr:colOff>
      <xdr:row>13</xdr:row>
      <xdr:rowOff>0</xdr:rowOff>
    </xdr:from>
    <xdr:to>
      <xdr:col>6</xdr:col>
      <xdr:colOff>0</xdr:colOff>
      <xdr:row>40</xdr:row>
      <xdr:rowOff>10440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rightToLeft="1" tabSelected="1" zoomScaleNormal="100" workbookViewId="0">
      <selection sqref="A1:J5"/>
    </sheetView>
  </sheetViews>
  <sheetFormatPr defaultColWidth="8.6328125" defaultRowHeight="14.5" x14ac:dyDescent="0.35"/>
  <cols>
    <col min="1" max="10" width="8.453125" customWidth="1"/>
  </cols>
  <sheetData>
    <row r="1" spans="1:10" ht="25.5" customHeight="1" x14ac:dyDescent="0.3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customHeight="1" x14ac:dyDescent="0.35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ht="16.5" customHeight="1" x14ac:dyDescent="0.35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ht="16.5" customHeight="1" x14ac:dyDescent="0.35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 ht="16.5" customHeight="1" x14ac:dyDescent="0.35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ht="16.5" customHeight="1" x14ac:dyDescent="0.35">
      <c r="A6" s="3" t="s">
        <v>1</v>
      </c>
      <c r="B6" s="3"/>
      <c r="C6" s="3"/>
      <c r="D6" s="3"/>
      <c r="E6" s="3"/>
      <c r="F6" s="3"/>
      <c r="G6" s="3"/>
      <c r="H6" s="3"/>
      <c r="I6" s="3"/>
      <c r="J6" s="3"/>
    </row>
    <row r="7" spans="1:10" ht="16.5" customHeight="1" x14ac:dyDescent="0.35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ht="3" customHeight="1" x14ac:dyDescent="0.35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 ht="18.75" customHeight="1" x14ac:dyDescent="0.35">
      <c r="B9" s="2" t="s">
        <v>2</v>
      </c>
      <c r="C9" s="2"/>
      <c r="D9" s="2"/>
      <c r="E9" s="2" t="s">
        <v>3</v>
      </c>
      <c r="F9" s="2"/>
      <c r="G9" s="2"/>
      <c r="H9" s="2" t="s">
        <v>4</v>
      </c>
      <c r="I9" s="2"/>
      <c r="J9" s="2"/>
    </row>
    <row r="10" spans="1:10" ht="15" customHeight="1" x14ac:dyDescent="0.35">
      <c r="B10" s="1" t="s">
        <v>5</v>
      </c>
      <c r="C10" s="1"/>
      <c r="D10" s="1"/>
      <c r="E10" s="1" t="s">
        <v>6</v>
      </c>
      <c r="F10" s="1"/>
      <c r="G10" s="1"/>
      <c r="H10" s="1" t="s">
        <v>7</v>
      </c>
      <c r="I10" s="1"/>
      <c r="J10" s="1"/>
    </row>
    <row r="11" spans="1:10" ht="16.5" customHeight="1" x14ac:dyDescent="0.35"/>
    <row r="12" spans="1:10" ht="16.5" customHeight="1" x14ac:dyDescent="0.35"/>
    <row r="13" spans="1:10" ht="18.75" customHeight="1" x14ac:dyDescent="0.35">
      <c r="B13" s="2" t="s">
        <v>8</v>
      </c>
      <c r="C13" s="2"/>
      <c r="D13" s="2"/>
      <c r="E13" s="2" t="s">
        <v>9</v>
      </c>
      <c r="F13" s="2"/>
      <c r="G13" s="2"/>
      <c r="H13" s="2" t="s">
        <v>10</v>
      </c>
      <c r="I13" s="2"/>
      <c r="J13" s="2"/>
    </row>
    <row r="14" spans="1:10" ht="15" customHeight="1" x14ac:dyDescent="0.35">
      <c r="B14" s="1" t="s">
        <v>11</v>
      </c>
      <c r="C14" s="1"/>
      <c r="D14" s="1"/>
      <c r="E14" s="1" t="s">
        <v>12</v>
      </c>
      <c r="F14" s="1"/>
      <c r="G14" s="1"/>
      <c r="H14" s="1" t="s">
        <v>13</v>
      </c>
      <c r="I14" s="1"/>
      <c r="J14" s="1"/>
    </row>
    <row r="15" spans="1:10" ht="16.5" customHeight="1" x14ac:dyDescent="0.35"/>
    <row r="16" spans="1:10" ht="16.5" customHeight="1" x14ac:dyDescent="0.35"/>
    <row r="17" ht="16.5" customHeight="1" x14ac:dyDescent="0.35"/>
    <row r="18" ht="16.5" customHeight="1" x14ac:dyDescent="0.35"/>
    <row r="19" ht="16.5" customHeight="1" x14ac:dyDescent="0.35"/>
    <row r="20" ht="16.5" customHeight="1" x14ac:dyDescent="0.35"/>
    <row r="21" ht="16.5" customHeight="1" x14ac:dyDescent="0.35"/>
    <row r="22" ht="16.5" customHeight="1" x14ac:dyDescent="0.35"/>
    <row r="23" ht="16.5" customHeight="1" x14ac:dyDescent="0.35"/>
    <row r="24" ht="16.5" customHeight="1" x14ac:dyDescent="0.35"/>
    <row r="25" ht="16.5" customHeight="1" x14ac:dyDescent="0.35"/>
    <row r="26" ht="16.5" customHeight="1" x14ac:dyDescent="0.35"/>
    <row r="27" ht="16.5" customHeight="1" x14ac:dyDescent="0.35"/>
    <row r="28" ht="16.5" customHeight="1" x14ac:dyDescent="0.35"/>
    <row r="29" ht="16.5" customHeight="1" x14ac:dyDescent="0.35"/>
    <row r="30" ht="16.5" customHeight="1" x14ac:dyDescent="0.35"/>
    <row r="31" ht="16.5" customHeight="1" x14ac:dyDescent="0.35"/>
    <row r="32" ht="16.5" customHeight="1" x14ac:dyDescent="0.35"/>
    <row r="33" ht="16.5" customHeight="1" x14ac:dyDescent="0.35"/>
    <row r="34" ht="16.5" customHeight="1" x14ac:dyDescent="0.35"/>
    <row r="35" ht="16.5" customHeight="1" x14ac:dyDescent="0.35"/>
    <row r="36" ht="16.5" customHeight="1" x14ac:dyDescent="0.35"/>
    <row r="37" ht="16.5" customHeight="1" x14ac:dyDescent="0.35"/>
    <row r="38" ht="16.5" customHeight="1" x14ac:dyDescent="0.35"/>
    <row r="39" ht="16.5" customHeight="1" x14ac:dyDescent="0.35"/>
    <row r="40" ht="16.5" customHeight="1" x14ac:dyDescent="0.35"/>
    <row r="41" ht="16.5" customHeight="1" x14ac:dyDescent="0.35"/>
    <row r="42" ht="16.5" customHeight="1" x14ac:dyDescent="0.35"/>
    <row r="43" ht="16.5" customHeight="1" x14ac:dyDescent="0.35"/>
    <row r="44" ht="16.5" customHeight="1" x14ac:dyDescent="0.35"/>
    <row r="45" ht="16.5" customHeight="1" x14ac:dyDescent="0.35"/>
    <row r="46" ht="16.5" customHeight="1" x14ac:dyDescent="0.35"/>
    <row r="47" ht="16.5" customHeight="1" x14ac:dyDescent="0.35"/>
    <row r="48" ht="16.5" customHeight="1" x14ac:dyDescent="0.35"/>
    <row r="49" ht="16.5" customHeight="1" x14ac:dyDescent="0.35"/>
  </sheetData>
  <mergeCells count="14">
    <mergeCell ref="B14:D14"/>
    <mergeCell ref="E14:G14"/>
    <mergeCell ref="H14:J14"/>
    <mergeCell ref="B10:D10"/>
    <mergeCell ref="E10:G10"/>
    <mergeCell ref="H10:J10"/>
    <mergeCell ref="B13:D13"/>
    <mergeCell ref="E13:G13"/>
    <mergeCell ref="H13:J13"/>
    <mergeCell ref="A1:J5"/>
    <mergeCell ref="A6:J7"/>
    <mergeCell ref="B9:D9"/>
    <mergeCell ref="E9:G9"/>
    <mergeCell ref="H9:J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1"/>
  <sheetViews>
    <sheetView rightToLeft="1" zoomScale="88" zoomScaleNormal="100" workbookViewId="0">
      <selection activeCell="N4" sqref="N4:N15"/>
    </sheetView>
  </sheetViews>
  <sheetFormatPr defaultColWidth="8.6328125" defaultRowHeight="14.5" x14ac:dyDescent="0.35"/>
  <cols>
    <col min="1" max="1" width="8" style="7" customWidth="1"/>
    <col min="2" max="2" width="20" style="7" customWidth="1"/>
    <col min="3" max="4" width="14" style="7" customWidth="1"/>
    <col min="5" max="5" width="12" style="7" customWidth="1"/>
    <col min="6" max="6" width="10" style="7" customWidth="1"/>
    <col min="7" max="7" width="14" style="7" customWidth="1"/>
    <col min="8" max="8" width="10" style="7" customWidth="1"/>
    <col min="9" max="13" width="12" style="7" customWidth="1"/>
    <col min="14" max="14" width="14" style="7" customWidth="1"/>
    <col min="15" max="16384" width="8.6328125" style="7"/>
  </cols>
  <sheetData>
    <row r="1" spans="1:14" ht="27.75" customHeight="1" x14ac:dyDescent="0.35">
      <c r="A1" s="6" t="s">
        <v>14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15" customHeight="1" x14ac:dyDescent="0.35">
      <c r="A2" s="8" t="s">
        <v>15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21.75" customHeight="1" x14ac:dyDescent="0.35">
      <c r="A3" s="9" t="s">
        <v>16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21</v>
      </c>
      <c r="G3" s="9" t="s">
        <v>22</v>
      </c>
      <c r="H3" s="9" t="s">
        <v>23</v>
      </c>
      <c r="I3" s="9" t="s">
        <v>24</v>
      </c>
      <c r="J3" s="9" t="s">
        <v>25</v>
      </c>
      <c r="K3" s="9" t="s">
        <v>26</v>
      </c>
      <c r="L3" s="9" t="s">
        <v>27</v>
      </c>
      <c r="M3" s="9" t="s">
        <v>28</v>
      </c>
      <c r="N3" s="9" t="s">
        <v>29</v>
      </c>
    </row>
    <row r="4" spans="1:14" ht="15.75" customHeight="1" x14ac:dyDescent="0.35">
      <c r="A4" s="10" t="s">
        <v>30</v>
      </c>
      <c r="B4" s="10" t="s">
        <v>31</v>
      </c>
      <c r="C4" s="10" t="s">
        <v>32</v>
      </c>
      <c r="D4" s="11">
        <v>27.9</v>
      </c>
      <c r="E4" s="11">
        <v>1.85</v>
      </c>
      <c r="F4" s="19">
        <f t="shared" ref="F4:F15" si="0">IF(OR(D4=0,E4=0),"-",D4/E4)</f>
        <v>15.081081081081079</v>
      </c>
      <c r="G4" s="11">
        <v>14.2</v>
      </c>
      <c r="H4" s="19">
        <f t="shared" ref="H4:H15" si="1">IF(OR(D4=0,G4=0),"-",D4/G4)</f>
        <v>1.9647887323943662</v>
      </c>
      <c r="I4" s="12">
        <v>4.7E-2</v>
      </c>
      <c r="J4" s="13">
        <v>0.12</v>
      </c>
      <c r="K4" s="12">
        <v>0.28499999999999998</v>
      </c>
      <c r="L4" s="12">
        <v>0.03</v>
      </c>
      <c r="M4" s="19">
        <f t="shared" ref="M4:M15" si="2">IF(D4=0,"-",IF(ISNUMBER(F4),IF(F4&lt;15,3,IF(F4&lt;20,2,1)),1)+IF(ISNUMBER(H4),IF(H4&lt;1.5,2,IF(H4&lt;3,1,0)),0)+IF(I4&gt;0.04,2,IF(I4&gt;0.02,1,0))+IF(K4&gt;0.2,2,IF(K4&gt;0.1,1,0))+IF(L4&gt;0.05,1,0))</f>
        <v>7</v>
      </c>
      <c r="N4" s="20" t="str">
        <f t="shared" ref="N4:N15" si="3">IF(D4=0,"",IF(ISNUMBER(M4),IF(M4&gt;=8,"✅ شراء قوي",IF(M4&gt;=6,"👍 شراء",IF(M4&gt;=4,"⚖️ محايد","⛔ تجنب"))),""))</f>
        <v>👍 شراء</v>
      </c>
    </row>
    <row r="5" spans="1:14" ht="15.75" customHeight="1" x14ac:dyDescent="0.35">
      <c r="A5" s="10" t="s">
        <v>33</v>
      </c>
      <c r="B5" s="10" t="s">
        <v>34</v>
      </c>
      <c r="C5" s="10" t="s">
        <v>35</v>
      </c>
      <c r="D5" s="11">
        <v>85</v>
      </c>
      <c r="E5" s="11">
        <v>6.2</v>
      </c>
      <c r="F5" s="19">
        <f t="shared" si="0"/>
        <v>13.709677419354838</v>
      </c>
      <c r="G5" s="11">
        <v>28.5</v>
      </c>
      <c r="H5" s="19">
        <f t="shared" si="1"/>
        <v>2.9824561403508771</v>
      </c>
      <c r="I5" s="12">
        <v>3.5000000000000003E-2</v>
      </c>
      <c r="J5" s="13">
        <v>4.2</v>
      </c>
      <c r="K5" s="12">
        <v>0.41199999999999998</v>
      </c>
      <c r="L5" s="12">
        <v>0.08</v>
      </c>
      <c r="M5" s="19">
        <f t="shared" si="2"/>
        <v>8</v>
      </c>
      <c r="N5" s="20" t="str">
        <f t="shared" si="3"/>
        <v>✅ شراء قوي</v>
      </c>
    </row>
    <row r="6" spans="1:14" ht="15.75" customHeight="1" x14ac:dyDescent="0.35">
      <c r="A6" s="10" t="s">
        <v>36</v>
      </c>
      <c r="B6" s="10" t="s">
        <v>37</v>
      </c>
      <c r="C6" s="10" t="s">
        <v>38</v>
      </c>
      <c r="D6" s="11">
        <v>78</v>
      </c>
      <c r="E6" s="11">
        <v>2.1</v>
      </c>
      <c r="F6" s="19">
        <f t="shared" si="0"/>
        <v>37.142857142857139</v>
      </c>
      <c r="G6" s="11">
        <v>35.799999999999997</v>
      </c>
      <c r="H6" s="19">
        <f t="shared" si="1"/>
        <v>2.1787709497206706</v>
      </c>
      <c r="I6" s="12">
        <v>2.5000000000000001E-2</v>
      </c>
      <c r="J6" s="13">
        <v>0.45</v>
      </c>
      <c r="K6" s="12">
        <v>8.8999999999999996E-2</v>
      </c>
      <c r="L6" s="12">
        <v>0.12</v>
      </c>
      <c r="M6" s="19">
        <f t="shared" si="2"/>
        <v>4</v>
      </c>
      <c r="N6" s="20" t="str">
        <f t="shared" si="3"/>
        <v>⚖️ محايد</v>
      </c>
    </row>
    <row r="7" spans="1:14" ht="15.75" customHeight="1" x14ac:dyDescent="0.35">
      <c r="A7" s="10" t="s">
        <v>39</v>
      </c>
      <c r="B7" s="10" t="s">
        <v>40</v>
      </c>
      <c r="C7" s="10" t="s">
        <v>41</v>
      </c>
      <c r="D7" s="11">
        <v>44</v>
      </c>
      <c r="E7" s="11">
        <v>2.95</v>
      </c>
      <c r="F7" s="19">
        <f t="shared" si="0"/>
        <v>14.915254237288135</v>
      </c>
      <c r="G7" s="11">
        <v>18.600000000000001</v>
      </c>
      <c r="H7" s="19">
        <f t="shared" si="1"/>
        <v>2.365591397849462</v>
      </c>
      <c r="I7" s="12">
        <v>0.06</v>
      </c>
      <c r="J7" s="13">
        <v>0.85</v>
      </c>
      <c r="K7" s="12">
        <v>0.19500000000000001</v>
      </c>
      <c r="L7" s="12">
        <v>0.05</v>
      </c>
      <c r="M7" s="19">
        <f t="shared" si="2"/>
        <v>7</v>
      </c>
      <c r="N7" s="20" t="str">
        <f t="shared" si="3"/>
        <v>👍 شراء</v>
      </c>
    </row>
    <row r="8" spans="1:14" ht="15.75" customHeight="1" x14ac:dyDescent="0.35">
      <c r="A8" s="10" t="s">
        <v>42</v>
      </c>
      <c r="B8" s="10" t="s">
        <v>43</v>
      </c>
      <c r="C8" s="10" t="s">
        <v>44</v>
      </c>
      <c r="D8" s="11">
        <v>47.5</v>
      </c>
      <c r="E8" s="11">
        <v>1.4</v>
      </c>
      <c r="F8" s="19">
        <f t="shared" si="0"/>
        <v>33.928571428571431</v>
      </c>
      <c r="G8" s="11">
        <v>22.1</v>
      </c>
      <c r="H8" s="19">
        <f t="shared" si="1"/>
        <v>2.1493212669683257</v>
      </c>
      <c r="I8" s="12">
        <v>1.4999999999999999E-2</v>
      </c>
      <c r="J8" s="13">
        <v>0.62</v>
      </c>
      <c r="K8" s="12">
        <v>0.14199999999999999</v>
      </c>
      <c r="L8" s="12">
        <v>-0.02</v>
      </c>
      <c r="M8" s="19">
        <f t="shared" si="2"/>
        <v>3</v>
      </c>
      <c r="N8" s="20" t="str">
        <f t="shared" si="3"/>
        <v>⛔ تجنب</v>
      </c>
    </row>
    <row r="9" spans="1:14" ht="15.75" customHeight="1" x14ac:dyDescent="0.35">
      <c r="A9" s="10" t="s">
        <v>45</v>
      </c>
      <c r="B9" s="10" t="s">
        <v>46</v>
      </c>
      <c r="C9" s="10" t="s">
        <v>38</v>
      </c>
      <c r="D9" s="11">
        <v>15.2</v>
      </c>
      <c r="E9" s="11">
        <v>0.45</v>
      </c>
      <c r="F9" s="19">
        <f t="shared" si="0"/>
        <v>33.777777777777779</v>
      </c>
      <c r="G9" s="11">
        <v>12.3</v>
      </c>
      <c r="H9" s="19">
        <f t="shared" si="1"/>
        <v>1.2357723577235771</v>
      </c>
      <c r="I9" s="12">
        <v>0</v>
      </c>
      <c r="J9" s="13">
        <v>0.78</v>
      </c>
      <c r="K9" s="12">
        <v>3.2000000000000001E-2</v>
      </c>
      <c r="L9" s="12">
        <v>0.25</v>
      </c>
      <c r="M9" s="19">
        <f t="shared" si="2"/>
        <v>4</v>
      </c>
      <c r="N9" s="20" t="str">
        <f t="shared" si="3"/>
        <v>⚖️ محايد</v>
      </c>
    </row>
    <row r="10" spans="1:14" ht="15.75" customHeight="1" x14ac:dyDescent="0.35">
      <c r="A10" s="10" t="s">
        <v>47</v>
      </c>
      <c r="B10" s="10" t="s">
        <v>48</v>
      </c>
      <c r="C10" s="10" t="s">
        <v>49</v>
      </c>
      <c r="D10" s="11">
        <v>38</v>
      </c>
      <c r="E10" s="11">
        <v>1.85</v>
      </c>
      <c r="F10" s="19">
        <f t="shared" si="0"/>
        <v>20.54054054054054</v>
      </c>
      <c r="G10" s="11">
        <v>16.399999999999999</v>
      </c>
      <c r="H10" s="19">
        <f t="shared" si="1"/>
        <v>2.3170731707317076</v>
      </c>
      <c r="I10" s="12">
        <v>1.7999999999999999E-2</v>
      </c>
      <c r="J10" s="13">
        <v>0.35</v>
      </c>
      <c r="K10" s="12">
        <v>0.112</v>
      </c>
      <c r="L10" s="12">
        <v>0.15</v>
      </c>
      <c r="M10" s="19">
        <f t="shared" si="2"/>
        <v>4</v>
      </c>
      <c r="N10" s="20" t="str">
        <f t="shared" si="3"/>
        <v>⚖️ محايد</v>
      </c>
    </row>
    <row r="11" spans="1:14" ht="15.75" customHeight="1" x14ac:dyDescent="0.35">
      <c r="A11" s="10" t="s">
        <v>50</v>
      </c>
      <c r="B11" s="10" t="s">
        <v>51</v>
      </c>
      <c r="C11" s="10" t="s">
        <v>52</v>
      </c>
      <c r="D11" s="11">
        <v>32.5</v>
      </c>
      <c r="E11" s="11">
        <v>2.1</v>
      </c>
      <c r="F11" s="19">
        <f t="shared" si="0"/>
        <v>15.476190476190476</v>
      </c>
      <c r="G11" s="11">
        <v>24.2</v>
      </c>
      <c r="H11" s="19">
        <f t="shared" si="1"/>
        <v>1.3429752066115703</v>
      </c>
      <c r="I11" s="12">
        <v>2.1999999999999999E-2</v>
      </c>
      <c r="J11" s="13">
        <v>0.18</v>
      </c>
      <c r="K11" s="12">
        <v>0.16500000000000001</v>
      </c>
      <c r="L11" s="12">
        <v>0.1</v>
      </c>
      <c r="M11" s="19">
        <f t="shared" si="2"/>
        <v>7</v>
      </c>
      <c r="N11" s="20" t="str">
        <f t="shared" si="3"/>
        <v>👍 شراء</v>
      </c>
    </row>
    <row r="12" spans="1:14" ht="15.75" customHeight="1" x14ac:dyDescent="0.35">
      <c r="A12" s="10"/>
      <c r="B12" s="10"/>
      <c r="C12" s="10"/>
      <c r="D12" s="11">
        <v>0</v>
      </c>
      <c r="E12" s="11">
        <v>0</v>
      </c>
      <c r="F12" s="19" t="str">
        <f t="shared" si="0"/>
        <v>-</v>
      </c>
      <c r="G12" s="11">
        <v>0</v>
      </c>
      <c r="H12" s="19" t="str">
        <f t="shared" si="1"/>
        <v>-</v>
      </c>
      <c r="I12" s="12">
        <v>0</v>
      </c>
      <c r="J12" s="13">
        <v>0</v>
      </c>
      <c r="K12" s="12">
        <v>0</v>
      </c>
      <c r="L12" s="12">
        <v>0</v>
      </c>
      <c r="M12" s="19" t="str">
        <f t="shared" si="2"/>
        <v>-</v>
      </c>
      <c r="N12" s="20" t="str">
        <f t="shared" si="3"/>
        <v/>
      </c>
    </row>
    <row r="13" spans="1:14" ht="15.75" customHeight="1" x14ac:dyDescent="0.35">
      <c r="A13" s="10"/>
      <c r="B13" s="10"/>
      <c r="C13" s="10"/>
      <c r="D13" s="11">
        <v>0</v>
      </c>
      <c r="E13" s="11">
        <v>0</v>
      </c>
      <c r="F13" s="19" t="str">
        <f t="shared" si="0"/>
        <v>-</v>
      </c>
      <c r="G13" s="11">
        <v>0</v>
      </c>
      <c r="H13" s="19" t="str">
        <f t="shared" si="1"/>
        <v>-</v>
      </c>
      <c r="I13" s="12">
        <v>0</v>
      </c>
      <c r="J13" s="13">
        <v>0</v>
      </c>
      <c r="K13" s="12">
        <v>0</v>
      </c>
      <c r="L13" s="12">
        <v>0</v>
      </c>
      <c r="M13" s="19" t="str">
        <f t="shared" si="2"/>
        <v>-</v>
      </c>
      <c r="N13" s="20" t="str">
        <f t="shared" si="3"/>
        <v/>
      </c>
    </row>
    <row r="14" spans="1:14" ht="15.75" customHeight="1" x14ac:dyDescent="0.35">
      <c r="A14" s="10"/>
      <c r="B14" s="10"/>
      <c r="C14" s="10"/>
      <c r="D14" s="11">
        <v>0</v>
      </c>
      <c r="E14" s="11">
        <v>0</v>
      </c>
      <c r="F14" s="19" t="str">
        <f t="shared" si="0"/>
        <v>-</v>
      </c>
      <c r="G14" s="11">
        <v>0</v>
      </c>
      <c r="H14" s="19" t="str">
        <f t="shared" si="1"/>
        <v>-</v>
      </c>
      <c r="I14" s="12">
        <v>0</v>
      </c>
      <c r="J14" s="13">
        <v>0</v>
      </c>
      <c r="K14" s="12">
        <v>0</v>
      </c>
      <c r="L14" s="12">
        <v>0</v>
      </c>
      <c r="M14" s="19" t="str">
        <f t="shared" si="2"/>
        <v>-</v>
      </c>
      <c r="N14" s="20" t="str">
        <f t="shared" si="3"/>
        <v/>
      </c>
    </row>
    <row r="15" spans="1:14" ht="15.75" customHeight="1" x14ac:dyDescent="0.35">
      <c r="A15" s="10"/>
      <c r="B15" s="10"/>
      <c r="C15" s="10"/>
      <c r="D15" s="11">
        <v>0</v>
      </c>
      <c r="E15" s="11">
        <v>0</v>
      </c>
      <c r="F15" s="19" t="str">
        <f t="shared" si="0"/>
        <v>-</v>
      </c>
      <c r="G15" s="11">
        <v>0</v>
      </c>
      <c r="H15" s="19" t="str">
        <f t="shared" si="1"/>
        <v>-</v>
      </c>
      <c r="I15" s="12">
        <v>0</v>
      </c>
      <c r="J15" s="13">
        <v>0</v>
      </c>
      <c r="K15" s="12">
        <v>0</v>
      </c>
      <c r="L15" s="12">
        <v>0</v>
      </c>
      <c r="M15" s="19" t="str">
        <f t="shared" si="2"/>
        <v>-</v>
      </c>
      <c r="N15" s="20" t="str">
        <f t="shared" si="3"/>
        <v/>
      </c>
    </row>
    <row r="17" spans="1:1" x14ac:dyDescent="0.35">
      <c r="A17" s="14" t="s">
        <v>53</v>
      </c>
    </row>
    <row r="18" spans="1:1" ht="12.75" customHeight="1" x14ac:dyDescent="0.35">
      <c r="A18" s="15" t="s">
        <v>54</v>
      </c>
    </row>
    <row r="19" spans="1:1" ht="12.75" customHeight="1" x14ac:dyDescent="0.35">
      <c r="A19" s="16" t="s">
        <v>55</v>
      </c>
    </row>
    <row r="20" spans="1:1" ht="12.75" customHeight="1" x14ac:dyDescent="0.35">
      <c r="A20" s="17" t="s">
        <v>56</v>
      </c>
    </row>
    <row r="21" spans="1:1" ht="12.75" customHeight="1" x14ac:dyDescent="0.35">
      <c r="A21" s="18" t="s">
        <v>57</v>
      </c>
    </row>
  </sheetData>
  <sheetProtection algorithmName="SHA-512" hashValue="3gPjnG68quN+8pXMaXYglpAKM+OkGmEFStMcXTidH6vp3Abz5/RNfxy2lXxl/NTNucuFzFsZ2nD5iu05d/SAnw==" saltValue="OJikzUPQJ9043BiGR8bCng==" spinCount="100000" sheet="1" objects="1" scenarios="1"/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4"/>
  <sheetViews>
    <sheetView rightToLeft="1" topLeftCell="A17" zoomScale="76" zoomScaleNormal="100" workbookViewId="0">
      <selection activeCell="B36" sqref="B36:G38"/>
    </sheetView>
  </sheetViews>
  <sheetFormatPr defaultColWidth="8.6328125" defaultRowHeight="14.5" x14ac:dyDescent="0.35"/>
  <cols>
    <col min="1" max="1" width="28" style="7" customWidth="1"/>
    <col min="2" max="2" width="18" style="7" customWidth="1"/>
    <col min="3" max="3" width="16" style="7" customWidth="1"/>
    <col min="4" max="4" width="22" style="7" customWidth="1"/>
    <col min="5" max="5" width="28" style="7" customWidth="1"/>
    <col min="6" max="7" width="5" style="7" customWidth="1"/>
    <col min="8" max="16384" width="8.6328125" style="7"/>
  </cols>
  <sheetData>
    <row r="1" spans="1:7" ht="27.75" customHeight="1" x14ac:dyDescent="0.35">
      <c r="A1" s="6" t="s">
        <v>58</v>
      </c>
      <c r="B1" s="6"/>
      <c r="C1" s="6"/>
      <c r="D1" s="6"/>
      <c r="E1" s="6"/>
      <c r="F1" s="6"/>
      <c r="G1" s="6"/>
    </row>
    <row r="3" spans="1:7" ht="21.75" customHeight="1" x14ac:dyDescent="0.35">
      <c r="A3" s="21" t="s">
        <v>59</v>
      </c>
      <c r="B3" s="21"/>
      <c r="C3" s="21"/>
      <c r="D3" s="21"/>
    </row>
    <row r="4" spans="1:7" ht="16.5" customHeight="1" x14ac:dyDescent="0.35">
      <c r="A4" s="22" t="s">
        <v>16</v>
      </c>
      <c r="B4" s="10" t="s">
        <v>30</v>
      </c>
    </row>
    <row r="5" spans="1:7" ht="16.5" customHeight="1" x14ac:dyDescent="0.35">
      <c r="A5" s="22" t="s">
        <v>17</v>
      </c>
      <c r="B5" s="10" t="s">
        <v>31</v>
      </c>
    </row>
    <row r="6" spans="1:7" ht="16.5" customHeight="1" x14ac:dyDescent="0.35">
      <c r="A6" s="22" t="s">
        <v>18</v>
      </c>
      <c r="B6" s="10" t="s">
        <v>32</v>
      </c>
    </row>
    <row r="7" spans="1:7" ht="16.5" customHeight="1" x14ac:dyDescent="0.35">
      <c r="A7" s="22" t="s">
        <v>60</v>
      </c>
      <c r="B7" s="10"/>
    </row>
    <row r="9" spans="1:7" ht="21.75" customHeight="1" x14ac:dyDescent="0.35">
      <c r="A9" s="21" t="s">
        <v>61</v>
      </c>
      <c r="B9" s="21"/>
      <c r="C9" s="21"/>
      <c r="D9" s="21"/>
      <c r="E9" s="21"/>
      <c r="F9" s="21"/>
      <c r="G9" s="21"/>
    </row>
    <row r="10" spans="1:7" ht="19.5" customHeight="1" x14ac:dyDescent="0.35">
      <c r="A10" s="9" t="s">
        <v>62</v>
      </c>
      <c r="B10" s="9" t="s">
        <v>63</v>
      </c>
      <c r="C10" s="9" t="s">
        <v>64</v>
      </c>
      <c r="D10" s="9" t="s">
        <v>65</v>
      </c>
      <c r="E10" s="23" t="s">
        <v>66</v>
      </c>
    </row>
    <row r="11" spans="1:7" ht="16.5" customHeight="1" x14ac:dyDescent="0.35">
      <c r="A11" s="24" t="s">
        <v>67</v>
      </c>
      <c r="B11" s="25">
        <v>400000</v>
      </c>
      <c r="C11" s="25">
        <v>420000</v>
      </c>
      <c r="D11" s="25">
        <v>440000</v>
      </c>
      <c r="E11" s="29">
        <f t="shared" ref="E11:E18" si="0">IF(OR(B11=0,D11=0),"-",(D11/B11)^(1/2)-1)</f>
        <v>4.8808848170151631E-2</v>
      </c>
    </row>
    <row r="12" spans="1:7" ht="16.5" customHeight="1" x14ac:dyDescent="0.35">
      <c r="A12" s="24" t="s">
        <v>68</v>
      </c>
      <c r="B12" s="25">
        <v>120000</v>
      </c>
      <c r="C12" s="25">
        <v>125000</v>
      </c>
      <c r="D12" s="25">
        <v>130000</v>
      </c>
      <c r="E12" s="29">
        <f t="shared" si="0"/>
        <v>4.0832999733066311E-2</v>
      </c>
    </row>
    <row r="13" spans="1:7" ht="16.5" customHeight="1" x14ac:dyDescent="0.35">
      <c r="A13" s="24" t="s">
        <v>69</v>
      </c>
      <c r="B13" s="28">
        <f>B12-B11</f>
        <v>-280000</v>
      </c>
      <c r="C13" s="28">
        <f>C12-C11</f>
        <v>-295000</v>
      </c>
      <c r="D13" s="28">
        <f>D12-D11</f>
        <v>-310000</v>
      </c>
      <c r="E13" s="29">
        <f t="shared" si="0"/>
        <v>5.2208561618302562E-2</v>
      </c>
    </row>
    <row r="14" spans="1:7" ht="16.5" customHeight="1" x14ac:dyDescent="0.35">
      <c r="A14" s="24" t="s">
        <v>70</v>
      </c>
      <c r="B14" s="25">
        <v>45000</v>
      </c>
      <c r="C14" s="25">
        <v>47000</v>
      </c>
      <c r="D14" s="25">
        <v>49000</v>
      </c>
      <c r="E14" s="29">
        <f t="shared" si="0"/>
        <v>4.3498389499901924E-2</v>
      </c>
    </row>
    <row r="15" spans="1:7" ht="16.5" customHeight="1" x14ac:dyDescent="0.35">
      <c r="A15" s="24" t="s">
        <v>71</v>
      </c>
      <c r="B15" s="28">
        <f>B12-B14</f>
        <v>75000</v>
      </c>
      <c r="C15" s="28">
        <f>C12-C14</f>
        <v>78000</v>
      </c>
      <c r="D15" s="28">
        <f>D12-D14</f>
        <v>81000</v>
      </c>
      <c r="E15" s="29">
        <f t="shared" si="0"/>
        <v>3.9230484541326494E-2</v>
      </c>
    </row>
    <row r="16" spans="1:7" ht="16.5" customHeight="1" x14ac:dyDescent="0.35">
      <c r="A16" s="24" t="s">
        <v>72</v>
      </c>
      <c r="B16" s="25">
        <v>85000</v>
      </c>
      <c r="C16" s="25">
        <v>90000</v>
      </c>
      <c r="D16" s="25">
        <v>95000</v>
      </c>
      <c r="E16" s="29">
        <f t="shared" si="0"/>
        <v>5.7188279741848813E-2</v>
      </c>
    </row>
    <row r="17" spans="1:7" ht="16.5" customHeight="1" x14ac:dyDescent="0.35">
      <c r="A17" s="24" t="s">
        <v>73</v>
      </c>
      <c r="B17" s="30">
        <f>IF(B18=0,0,B15/B18)</f>
        <v>10</v>
      </c>
      <c r="C17" s="30">
        <f>IF(C18=0,0,C15/C18)</f>
        <v>10.4</v>
      </c>
      <c r="D17" s="30">
        <f>IF(D18=0,0,D15/D18)</f>
        <v>10.8</v>
      </c>
      <c r="E17" s="29">
        <f t="shared" si="0"/>
        <v>3.9230484541326494E-2</v>
      </c>
    </row>
    <row r="18" spans="1:7" ht="16.5" customHeight="1" x14ac:dyDescent="0.35">
      <c r="A18" s="24" t="s">
        <v>74</v>
      </c>
      <c r="B18" s="25">
        <v>7500</v>
      </c>
      <c r="C18" s="25">
        <v>7500</v>
      </c>
      <c r="D18" s="25">
        <v>7500</v>
      </c>
      <c r="E18" s="29">
        <f t="shared" si="0"/>
        <v>0</v>
      </c>
    </row>
    <row r="21" spans="1:7" ht="21.75" customHeight="1" x14ac:dyDescent="0.35">
      <c r="A21" s="21" t="s">
        <v>75</v>
      </c>
      <c r="B21" s="21"/>
      <c r="C21" s="21"/>
      <c r="D21" s="21"/>
      <c r="E21" s="21"/>
      <c r="F21" s="21"/>
      <c r="G21" s="21"/>
    </row>
    <row r="22" spans="1:7" ht="19.5" customHeight="1" x14ac:dyDescent="0.35">
      <c r="A22" s="9" t="s">
        <v>76</v>
      </c>
      <c r="B22" s="9" t="s">
        <v>77</v>
      </c>
      <c r="C22" s="9" t="s">
        <v>78</v>
      </c>
      <c r="D22" s="9" t="s">
        <v>79</v>
      </c>
      <c r="E22" s="9" t="s">
        <v>80</v>
      </c>
    </row>
    <row r="23" spans="1:7" ht="16.5" customHeight="1" x14ac:dyDescent="0.35">
      <c r="A23" s="24" t="s">
        <v>81</v>
      </c>
      <c r="B23" s="11">
        <v>27.9</v>
      </c>
    </row>
    <row r="24" spans="1:7" ht="16.5" customHeight="1" x14ac:dyDescent="0.35">
      <c r="A24" s="24" t="s">
        <v>82</v>
      </c>
      <c r="B24" s="19">
        <f>IF(B17=0,"-",B23/B17)</f>
        <v>2.79</v>
      </c>
      <c r="C24" s="31" t="s">
        <v>83</v>
      </c>
      <c r="D24" s="32" t="str">
        <f>IF(ISNUMBER(B24),IF(B24&lt;15,"✅ رخيص",IF(B24&lt;20,"⚖️ عادل","⚠️ غالٍ")),"-")</f>
        <v>✅ رخيص</v>
      </c>
      <c r="E24" s="24" t="s">
        <v>84</v>
      </c>
    </row>
    <row r="25" spans="1:7" ht="16.5" customHeight="1" x14ac:dyDescent="0.35">
      <c r="A25" s="24" t="s">
        <v>85</v>
      </c>
      <c r="B25" s="19">
        <f>0</f>
        <v>0</v>
      </c>
      <c r="C25" s="31" t="s">
        <v>86</v>
      </c>
      <c r="D25" s="32" t="str">
        <f>IF(B25&lt;1,"✅ أقل من القيمة الدفترية",IF(B25&lt;2,"⚖️ معقول","⚠️ مرتفع"))</f>
        <v>✅ أقل من القيمة الدفترية</v>
      </c>
      <c r="E25" s="24" t="s">
        <v>87</v>
      </c>
    </row>
    <row r="26" spans="1:7" ht="16.5" customHeight="1" x14ac:dyDescent="0.35">
      <c r="A26" s="24" t="s">
        <v>88</v>
      </c>
      <c r="B26" s="19">
        <f>0</f>
        <v>0</v>
      </c>
      <c r="C26" s="31" t="s">
        <v>89</v>
      </c>
      <c r="D26" s="32" t="s">
        <v>90</v>
      </c>
      <c r="E26" s="24" t="s">
        <v>91</v>
      </c>
    </row>
    <row r="27" spans="1:7" ht="16.5" customHeight="1" x14ac:dyDescent="0.35">
      <c r="A27" s="24" t="s">
        <v>92</v>
      </c>
      <c r="B27" s="19">
        <f>0</f>
        <v>0</v>
      </c>
      <c r="C27" s="31" t="s">
        <v>93</v>
      </c>
      <c r="D27" s="32" t="s">
        <v>90</v>
      </c>
      <c r="E27" s="24" t="s">
        <v>94</v>
      </c>
    </row>
    <row r="28" spans="1:7" ht="16.5" customHeight="1" x14ac:dyDescent="0.35">
      <c r="A28" s="24" t="s">
        <v>95</v>
      </c>
      <c r="B28" s="19">
        <f>0</f>
        <v>0</v>
      </c>
      <c r="C28" s="31" t="s">
        <v>96</v>
      </c>
      <c r="D28" s="32" t="s">
        <v>90</v>
      </c>
      <c r="E28" s="24" t="s">
        <v>97</v>
      </c>
    </row>
    <row r="31" spans="1:7" ht="21.75" customHeight="1" x14ac:dyDescent="0.35">
      <c r="A31" s="26" t="s">
        <v>98</v>
      </c>
      <c r="B31" s="26"/>
      <c r="C31" s="26"/>
      <c r="D31" s="26"/>
      <c r="E31" s="26"/>
      <c r="F31" s="26"/>
      <c r="G31" s="26"/>
    </row>
    <row r="32" spans="1:7" ht="16.5" customHeight="1" x14ac:dyDescent="0.35">
      <c r="A32" s="24" t="s">
        <v>99</v>
      </c>
      <c r="B32" s="11">
        <v>2</v>
      </c>
    </row>
    <row r="33" spans="1:7" ht="16.5" customHeight="1" x14ac:dyDescent="0.35">
      <c r="A33" s="24" t="s">
        <v>100</v>
      </c>
      <c r="B33" s="27">
        <v>0.08</v>
      </c>
    </row>
    <row r="34" spans="1:7" ht="16.5" customHeight="1" x14ac:dyDescent="0.35">
      <c r="A34" s="24" t="s">
        <v>101</v>
      </c>
      <c r="B34" s="11">
        <v>18</v>
      </c>
    </row>
    <row r="35" spans="1:7" ht="16.5" customHeight="1" x14ac:dyDescent="0.35">
      <c r="A35" s="24" t="s">
        <v>102</v>
      </c>
      <c r="B35" s="27">
        <v>0.1</v>
      </c>
    </row>
    <row r="36" spans="1:7" x14ac:dyDescent="0.35">
      <c r="A36" s="24" t="s">
        <v>103</v>
      </c>
      <c r="B36" s="33">
        <f>B32*(1+B33)^5*B34/(1+B35)^5</f>
        <v>32.844136804366315</v>
      </c>
      <c r="C36" s="34"/>
      <c r="D36" s="34"/>
      <c r="E36" s="34"/>
      <c r="F36" s="34"/>
      <c r="G36" s="34"/>
    </row>
    <row r="37" spans="1:7" x14ac:dyDescent="0.35">
      <c r="A37" s="24" t="s">
        <v>104</v>
      </c>
      <c r="B37" s="35">
        <f>IF(B23=0,0,(B36-B23)/B36)</f>
        <v>0.15053331539250683</v>
      </c>
      <c r="C37" s="34"/>
      <c r="D37" s="34"/>
      <c r="E37" s="34"/>
      <c r="F37" s="34"/>
      <c r="G37" s="34"/>
    </row>
    <row r="38" spans="1:7" ht="21.75" customHeight="1" x14ac:dyDescent="0.35">
      <c r="A38" s="22" t="s">
        <v>105</v>
      </c>
      <c r="B38" s="36" t="str">
        <f>IF(B37&gt;=0.2,"✅ فرصة شراء ممتازة – هامش أمان "&amp;TEXT(B37,"0%"),IF(B37&gt;=0,"⚖️ سعر عادل – هامش "&amp;TEXT(B37,"0%"),"⚠️ السهم مبالغ في تسعيره بنسبة "&amp;TEXT(ABS(B37),"0%")))</f>
        <v>⚖️ سعر عادل – هامش 15%</v>
      </c>
      <c r="C38" s="36"/>
      <c r="D38" s="36"/>
      <c r="E38" s="36"/>
      <c r="F38" s="36"/>
      <c r="G38" s="36"/>
    </row>
    <row r="40" spans="1:7" x14ac:dyDescent="0.35">
      <c r="A40" s="14" t="s">
        <v>53</v>
      </c>
    </row>
    <row r="41" spans="1:7" ht="12.75" customHeight="1" x14ac:dyDescent="0.35">
      <c r="A41" s="15" t="s">
        <v>54</v>
      </c>
    </row>
    <row r="42" spans="1:7" ht="12.75" customHeight="1" x14ac:dyDescent="0.35">
      <c r="A42" s="16" t="s">
        <v>55</v>
      </c>
    </row>
    <row r="43" spans="1:7" ht="12.75" customHeight="1" x14ac:dyDescent="0.35">
      <c r="A43" s="17" t="s">
        <v>56</v>
      </c>
    </row>
    <row r="44" spans="1:7" ht="12.75" customHeight="1" x14ac:dyDescent="0.35">
      <c r="A44" s="18" t="s">
        <v>57</v>
      </c>
    </row>
  </sheetData>
  <sheetProtection algorithmName="SHA-512" hashValue="879+Y16duOy8jhwywAO96f78EkSqgBFTgksVtWu+NDhH3TvNVv8oHRHzAnF3FLPEGXXBssntBuYp8V4v2xIMuA==" saltValue="m6MJ0hKcWsFGw9CGFfTd7A==" spinCount="100000" sheet="1" objects="1" scenarios="1"/>
  <mergeCells count="6">
    <mergeCell ref="B38:G38"/>
    <mergeCell ref="A1:G1"/>
    <mergeCell ref="A3:D3"/>
    <mergeCell ref="A9:G9"/>
    <mergeCell ref="A21:G21"/>
    <mergeCell ref="A31:G3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"/>
  <sheetViews>
    <sheetView rightToLeft="1" zoomScale="73" zoomScaleNormal="100" workbookViewId="0">
      <selection activeCell="A24" sqref="A24:F25"/>
    </sheetView>
  </sheetViews>
  <sheetFormatPr defaultColWidth="8.6328125" defaultRowHeight="14.5" x14ac:dyDescent="0.35"/>
  <cols>
    <col min="1" max="1" width="34" style="7" customWidth="1"/>
    <col min="2" max="2" width="14" style="7" customWidth="1"/>
    <col min="3" max="3" width="18" style="7" customWidth="1"/>
    <col min="4" max="4" width="20" style="7" customWidth="1"/>
    <col min="5" max="6" width="5" style="7" customWidth="1"/>
    <col min="7" max="16384" width="8.6328125" style="7"/>
  </cols>
  <sheetData>
    <row r="1" spans="1:6" ht="27.75" customHeight="1" x14ac:dyDescent="0.35">
      <c r="A1" s="6" t="s">
        <v>106</v>
      </c>
      <c r="B1" s="6"/>
      <c r="C1" s="6"/>
      <c r="D1" s="6"/>
      <c r="E1" s="6"/>
      <c r="F1" s="6"/>
    </row>
    <row r="2" spans="1:6" ht="15" customHeight="1" x14ac:dyDescent="0.35">
      <c r="A2" s="8" t="s">
        <v>107</v>
      </c>
      <c r="B2" s="8"/>
      <c r="C2" s="8"/>
      <c r="D2" s="8"/>
      <c r="E2" s="8"/>
      <c r="F2" s="8"/>
    </row>
    <row r="4" spans="1:6" ht="21.75" customHeight="1" x14ac:dyDescent="0.35">
      <c r="A4" s="21" t="s">
        <v>108</v>
      </c>
      <c r="B4" s="21"/>
      <c r="C4" s="21"/>
      <c r="D4" s="21"/>
      <c r="E4" s="21"/>
      <c r="F4" s="21"/>
    </row>
    <row r="5" spans="1:6" ht="16.5" customHeight="1" x14ac:dyDescent="0.35">
      <c r="A5" s="24" t="s">
        <v>109</v>
      </c>
      <c r="B5" s="10"/>
    </row>
    <row r="7" spans="1:6" ht="21.75" customHeight="1" x14ac:dyDescent="0.35">
      <c r="A7" s="21" t="s">
        <v>110</v>
      </c>
      <c r="B7" s="21"/>
      <c r="C7" s="21"/>
      <c r="D7" s="21"/>
      <c r="E7" s="21"/>
      <c r="F7" s="21"/>
    </row>
    <row r="8" spans="1:6" ht="19.5" customHeight="1" x14ac:dyDescent="0.35">
      <c r="A8" s="9" t="s">
        <v>111</v>
      </c>
      <c r="B8" s="9" t="s">
        <v>112</v>
      </c>
      <c r="C8" s="37" t="s">
        <v>113</v>
      </c>
      <c r="D8" s="37"/>
      <c r="E8" s="37"/>
      <c r="F8" s="37"/>
    </row>
    <row r="9" spans="1:6" ht="16.5" customHeight="1" x14ac:dyDescent="0.35">
      <c r="A9" s="24" t="s">
        <v>114</v>
      </c>
      <c r="B9" s="10" t="s">
        <v>115</v>
      </c>
      <c r="C9" s="38" t="s">
        <v>116</v>
      </c>
      <c r="D9" s="38"/>
      <c r="E9" s="38"/>
      <c r="F9" s="38"/>
    </row>
    <row r="10" spans="1:6" ht="16.5" customHeight="1" x14ac:dyDescent="0.35">
      <c r="A10" s="24" t="s">
        <v>117</v>
      </c>
      <c r="B10" s="10" t="s">
        <v>115</v>
      </c>
      <c r="C10" s="38"/>
      <c r="D10" s="38"/>
      <c r="E10" s="38"/>
      <c r="F10" s="38"/>
    </row>
    <row r="11" spans="1:6" ht="16.5" customHeight="1" x14ac:dyDescent="0.35">
      <c r="A11" s="24" t="s">
        <v>118</v>
      </c>
      <c r="B11" s="10" t="s">
        <v>115</v>
      </c>
      <c r="C11" s="38"/>
      <c r="D11" s="38"/>
      <c r="E11" s="38"/>
      <c r="F11" s="38"/>
    </row>
    <row r="12" spans="1:6" ht="16.5" customHeight="1" x14ac:dyDescent="0.35">
      <c r="A12" s="24" t="s">
        <v>119</v>
      </c>
      <c r="B12" s="10" t="s">
        <v>115</v>
      </c>
      <c r="C12" s="38"/>
      <c r="D12" s="38"/>
      <c r="E12" s="38"/>
      <c r="F12" s="38"/>
    </row>
    <row r="13" spans="1:6" ht="16.5" customHeight="1" x14ac:dyDescent="0.35">
      <c r="A13" s="24" t="s">
        <v>120</v>
      </c>
      <c r="B13" s="10" t="s">
        <v>115</v>
      </c>
      <c r="C13" s="38"/>
      <c r="D13" s="38"/>
      <c r="E13" s="38"/>
      <c r="F13" s="38"/>
    </row>
    <row r="14" spans="1:6" ht="16.5" customHeight="1" x14ac:dyDescent="0.35">
      <c r="A14" s="24" t="s">
        <v>121</v>
      </c>
      <c r="B14" s="10" t="s">
        <v>115</v>
      </c>
      <c r="C14" s="38" t="s">
        <v>122</v>
      </c>
      <c r="D14" s="38"/>
      <c r="E14" s="38"/>
      <c r="F14" s="38"/>
    </row>
    <row r="16" spans="1:6" ht="21.75" customHeight="1" x14ac:dyDescent="0.35">
      <c r="A16" s="21" t="s">
        <v>123</v>
      </c>
      <c r="B16" s="21"/>
      <c r="C16" s="21"/>
      <c r="D16" s="21"/>
      <c r="E16" s="21"/>
      <c r="F16" s="21"/>
    </row>
    <row r="17" spans="1:6" ht="19.5" customHeight="1" x14ac:dyDescent="0.35">
      <c r="A17" s="9" t="s">
        <v>124</v>
      </c>
      <c r="B17" s="9" t="s">
        <v>125</v>
      </c>
      <c r="C17" s="9" t="s">
        <v>126</v>
      </c>
      <c r="D17" s="37" t="s">
        <v>112</v>
      </c>
      <c r="E17" s="37"/>
      <c r="F17" s="37"/>
    </row>
    <row r="18" spans="1:6" ht="16.5" customHeight="1" x14ac:dyDescent="0.35">
      <c r="A18" s="24" t="s">
        <v>127</v>
      </c>
      <c r="B18" s="12">
        <v>0.12</v>
      </c>
      <c r="C18" s="31" t="s">
        <v>128</v>
      </c>
      <c r="D18" s="40" t="str">
        <f>IF(B18&lt;0.33,"✅ ضمن الحد","❌ يتجاوز الحد")</f>
        <v>✅ ضمن الحد</v>
      </c>
      <c r="E18" s="40"/>
      <c r="F18" s="40"/>
    </row>
    <row r="19" spans="1:6" ht="16.5" customHeight="1" x14ac:dyDescent="0.35">
      <c r="A19" s="24" t="s">
        <v>129</v>
      </c>
      <c r="B19" s="12">
        <v>0.02</v>
      </c>
      <c r="C19" s="31" t="s">
        <v>130</v>
      </c>
      <c r="D19" s="40" t="str">
        <f>IF(B19&lt;0.05,"✅ ضمن الحد","❌ يتجاوز الحد")</f>
        <v>✅ ضمن الحد</v>
      </c>
      <c r="E19" s="40"/>
      <c r="F19" s="40"/>
    </row>
    <row r="20" spans="1:6" ht="16.5" customHeight="1" x14ac:dyDescent="0.35">
      <c r="A20" s="24" t="s">
        <v>131</v>
      </c>
      <c r="B20" s="12">
        <v>0.05</v>
      </c>
      <c r="C20" s="31" t="s">
        <v>128</v>
      </c>
      <c r="D20" s="40" t="str">
        <f>IF(B20&lt;0.33,"✅ ضمن الحد","❌ يتجاوز الحد")</f>
        <v>✅ ضمن الحد</v>
      </c>
      <c r="E20" s="40"/>
      <c r="F20" s="40"/>
    </row>
    <row r="21" spans="1:6" ht="16.5" customHeight="1" x14ac:dyDescent="0.35">
      <c r="A21" s="24" t="s">
        <v>132</v>
      </c>
      <c r="B21" s="12">
        <v>0.28000000000000003</v>
      </c>
      <c r="C21" s="31" t="s">
        <v>133</v>
      </c>
      <c r="D21" s="40" t="str">
        <f>IF(B21&lt;0.45,"✅ ضمن الحد","❌ يتجاوز الحد")</f>
        <v>✅ ضمن الحد</v>
      </c>
      <c r="E21" s="40"/>
      <c r="F21" s="40"/>
    </row>
    <row r="23" spans="1:6" ht="21.75" customHeight="1" x14ac:dyDescent="0.35">
      <c r="A23" s="39" t="s">
        <v>134</v>
      </c>
      <c r="B23" s="39"/>
      <c r="C23" s="39"/>
      <c r="D23" s="39"/>
      <c r="E23" s="39"/>
      <c r="F23" s="39"/>
    </row>
    <row r="24" spans="1:6" ht="25.5" customHeight="1" x14ac:dyDescent="0.35">
      <c r="A24" s="41" t="str">
        <f>IF(COUNTIF(D18:D21,"❌ يتجاوز الحد")&gt;0,"❌ السهم غير متوافق شرعياً – يتجاوز النسب المسموحة","✅ السهم متوافق شرعياً – يمكن الاستثمار فيه وفق الضوابط الإسلامية")</f>
        <v>✅ السهم متوافق شرعياً – يمكن الاستثمار فيه وفق الضوابط الإسلامية</v>
      </c>
      <c r="B24" s="41"/>
      <c r="C24" s="41"/>
      <c r="D24" s="41"/>
      <c r="E24" s="41"/>
      <c r="F24" s="41"/>
    </row>
    <row r="25" spans="1:6" x14ac:dyDescent="0.35">
      <c r="A25" s="41"/>
      <c r="B25" s="41"/>
      <c r="C25" s="41"/>
      <c r="D25" s="41"/>
      <c r="E25" s="41"/>
      <c r="F25" s="41"/>
    </row>
  </sheetData>
  <sheetProtection algorithmName="SHA-512" hashValue="TSSa+sJbeXAq2lVUZhY8qZ5E91hMRhWmbdqY5VRqDQ/CjW47DpNJXQBxpqIju73CLb5X6I6ZxL+lexYHNalC7Q==" saltValue="Fu16yNfJiNvLgTZitI5XVQ==" spinCount="100000" sheet="1" objects="1" scenarios="1"/>
  <mergeCells count="19">
    <mergeCell ref="D20:F20"/>
    <mergeCell ref="D21:F21"/>
    <mergeCell ref="A23:F23"/>
    <mergeCell ref="A24:F25"/>
    <mergeCell ref="C14:F14"/>
    <mergeCell ref="A16:F16"/>
    <mergeCell ref="D17:F17"/>
    <mergeCell ref="D18:F18"/>
    <mergeCell ref="D19:F19"/>
    <mergeCell ref="C9:F9"/>
    <mergeCell ref="C10:F10"/>
    <mergeCell ref="C11:F11"/>
    <mergeCell ref="C12:F12"/>
    <mergeCell ref="C13:F13"/>
    <mergeCell ref="A1:F1"/>
    <mergeCell ref="A2:F2"/>
    <mergeCell ref="A4:F4"/>
    <mergeCell ref="A7:F7"/>
    <mergeCell ref="C8:F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4"/>
  <sheetViews>
    <sheetView rightToLeft="1" zoomScaleNormal="100" workbookViewId="0">
      <selection activeCell="H3" sqref="H3:H11"/>
    </sheetView>
  </sheetViews>
  <sheetFormatPr defaultColWidth="8.6328125" defaultRowHeight="14.5" x14ac:dyDescent="0.35"/>
  <cols>
    <col min="1" max="1" width="28" style="7" customWidth="1"/>
    <col min="2" max="3" width="12" style="7" customWidth="1"/>
    <col min="4" max="5" width="14" style="7" customWidth="1"/>
    <col min="6" max="6" width="10" style="7" customWidth="1"/>
    <col min="7" max="7" width="14" style="7" customWidth="1"/>
    <col min="8" max="8" width="12" style="7" customWidth="1"/>
    <col min="9" max="16384" width="8.6328125" style="7"/>
  </cols>
  <sheetData>
    <row r="1" spans="1:8" ht="27.75" customHeight="1" x14ac:dyDescent="0.35">
      <c r="A1" s="6" t="s">
        <v>135</v>
      </c>
      <c r="B1" s="6"/>
      <c r="C1" s="6"/>
      <c r="D1" s="6"/>
      <c r="E1" s="6"/>
      <c r="F1" s="6"/>
      <c r="G1" s="6"/>
      <c r="H1" s="6"/>
    </row>
    <row r="2" spans="1:8" ht="21.75" customHeight="1" x14ac:dyDescent="0.35">
      <c r="A2" s="9" t="s">
        <v>18</v>
      </c>
      <c r="B2" s="9" t="s">
        <v>136</v>
      </c>
      <c r="C2" s="9" t="s">
        <v>137</v>
      </c>
      <c r="D2" s="9" t="s">
        <v>138</v>
      </c>
      <c r="E2" s="9" t="s">
        <v>27</v>
      </c>
      <c r="F2" s="9" t="s">
        <v>139</v>
      </c>
      <c r="G2" s="9" t="s">
        <v>140</v>
      </c>
      <c r="H2" s="9" t="s">
        <v>79</v>
      </c>
    </row>
    <row r="3" spans="1:8" ht="16.5" customHeight="1" x14ac:dyDescent="0.35">
      <c r="A3" s="42" t="s">
        <v>141</v>
      </c>
      <c r="B3" s="13">
        <v>14.2</v>
      </c>
      <c r="C3" s="13">
        <v>1.85</v>
      </c>
      <c r="D3" s="12">
        <v>3.8</v>
      </c>
      <c r="E3" s="12">
        <v>8.5</v>
      </c>
      <c r="F3" s="43">
        <v>12</v>
      </c>
      <c r="G3" s="12">
        <v>30.2</v>
      </c>
      <c r="H3" s="44" t="str">
        <f t="shared" ref="H3:H11" si="0">IF(B3&lt;15,"✅ رخيص",IF(B3&lt;20,"⚖️ عادل","⚠️ مرتفع"))</f>
        <v>✅ رخيص</v>
      </c>
    </row>
    <row r="4" spans="1:8" ht="16.5" customHeight="1" x14ac:dyDescent="0.35">
      <c r="A4" s="24" t="s">
        <v>142</v>
      </c>
      <c r="B4" s="13">
        <v>18.5</v>
      </c>
      <c r="C4" s="13">
        <v>1.42</v>
      </c>
      <c r="D4" s="12">
        <v>2.1</v>
      </c>
      <c r="E4" s="12">
        <v>5.2</v>
      </c>
      <c r="F4" s="43">
        <v>22</v>
      </c>
      <c r="G4" s="12">
        <v>18.7</v>
      </c>
      <c r="H4" s="44" t="str">
        <f t="shared" si="0"/>
        <v>⚖️ عادل</v>
      </c>
    </row>
    <row r="5" spans="1:8" ht="16.5" customHeight="1" x14ac:dyDescent="0.35">
      <c r="A5" s="42" t="s">
        <v>143</v>
      </c>
      <c r="B5" s="13">
        <v>15.1</v>
      </c>
      <c r="C5" s="13">
        <v>3.2</v>
      </c>
      <c r="D5" s="12">
        <v>4.7</v>
      </c>
      <c r="E5" s="12">
        <v>3</v>
      </c>
      <c r="F5" s="43">
        <v>2</v>
      </c>
      <c r="G5" s="12">
        <v>25.4</v>
      </c>
      <c r="H5" s="44" t="str">
        <f t="shared" si="0"/>
        <v>⚖️ عادل</v>
      </c>
    </row>
    <row r="6" spans="1:8" ht="16.5" customHeight="1" x14ac:dyDescent="0.35">
      <c r="A6" s="24" t="s">
        <v>144</v>
      </c>
      <c r="B6" s="13">
        <v>17.8</v>
      </c>
      <c r="C6" s="13">
        <v>2.1</v>
      </c>
      <c r="D6" s="12">
        <v>5.2</v>
      </c>
      <c r="E6" s="12">
        <v>4.8</v>
      </c>
      <c r="F6" s="43">
        <v>8</v>
      </c>
      <c r="G6" s="12">
        <v>7.2</v>
      </c>
      <c r="H6" s="44" t="str">
        <f t="shared" si="0"/>
        <v>⚖️ عادل</v>
      </c>
    </row>
    <row r="7" spans="1:8" ht="16.5" customHeight="1" x14ac:dyDescent="0.35">
      <c r="A7" s="42" t="s">
        <v>145</v>
      </c>
      <c r="B7" s="13">
        <v>22.4</v>
      </c>
      <c r="C7" s="13">
        <v>3.15</v>
      </c>
      <c r="D7" s="12">
        <v>1.8</v>
      </c>
      <c r="E7" s="12">
        <v>12.5</v>
      </c>
      <c r="F7" s="43">
        <v>18</v>
      </c>
      <c r="G7" s="12">
        <v>6.1</v>
      </c>
      <c r="H7" s="44" t="str">
        <f t="shared" si="0"/>
        <v>⚠️ مرتفع</v>
      </c>
    </row>
    <row r="8" spans="1:8" ht="16.5" customHeight="1" x14ac:dyDescent="0.35">
      <c r="A8" s="24" t="s">
        <v>146</v>
      </c>
      <c r="B8" s="13">
        <v>28.6</v>
      </c>
      <c r="C8" s="13">
        <v>3.82</v>
      </c>
      <c r="D8" s="12">
        <v>1.2</v>
      </c>
      <c r="E8" s="12">
        <v>15.2</v>
      </c>
      <c r="F8" s="43">
        <v>10</v>
      </c>
      <c r="G8" s="12">
        <v>3.8</v>
      </c>
      <c r="H8" s="44" t="str">
        <f t="shared" si="0"/>
        <v>⚠️ مرتفع</v>
      </c>
    </row>
    <row r="9" spans="1:8" ht="16.5" customHeight="1" x14ac:dyDescent="0.35">
      <c r="A9" s="42" t="s">
        <v>147</v>
      </c>
      <c r="B9" s="13">
        <v>19.2</v>
      </c>
      <c r="C9" s="13">
        <v>1.65</v>
      </c>
      <c r="D9" s="12">
        <v>2.5</v>
      </c>
      <c r="E9" s="12">
        <v>6.8</v>
      </c>
      <c r="F9" s="43">
        <v>14</v>
      </c>
      <c r="G9" s="12">
        <v>4.2</v>
      </c>
      <c r="H9" s="44" t="str">
        <f t="shared" si="0"/>
        <v>⚖️ عادل</v>
      </c>
    </row>
    <row r="10" spans="1:8" ht="16.5" customHeight="1" x14ac:dyDescent="0.35">
      <c r="A10" s="24" t="s">
        <v>148</v>
      </c>
      <c r="B10" s="13">
        <v>16.8</v>
      </c>
      <c r="C10" s="13">
        <v>1.45</v>
      </c>
      <c r="D10" s="12">
        <v>3.1</v>
      </c>
      <c r="E10" s="12">
        <v>7.2</v>
      </c>
      <c r="F10" s="43">
        <v>29</v>
      </c>
      <c r="G10" s="12">
        <v>2.8</v>
      </c>
      <c r="H10" s="44" t="str">
        <f t="shared" si="0"/>
        <v>⚖️ عادل</v>
      </c>
    </row>
    <row r="11" spans="1:8" ht="16.5" customHeight="1" x14ac:dyDescent="0.35">
      <c r="A11" s="42" t="s">
        <v>149</v>
      </c>
      <c r="B11" s="13">
        <v>21.5</v>
      </c>
      <c r="C11" s="13">
        <v>2.9</v>
      </c>
      <c r="D11" s="12">
        <v>2.8</v>
      </c>
      <c r="E11" s="12">
        <v>9.5</v>
      </c>
      <c r="F11" s="43">
        <v>12</v>
      </c>
      <c r="G11" s="12">
        <v>1.6</v>
      </c>
      <c r="H11" s="44" t="str">
        <f t="shared" si="0"/>
        <v>⚠️ مرتفع</v>
      </c>
    </row>
    <row r="30" spans="1:1" x14ac:dyDescent="0.35">
      <c r="A30" s="14" t="s">
        <v>53</v>
      </c>
    </row>
    <row r="31" spans="1:1" ht="12.75" customHeight="1" x14ac:dyDescent="0.35">
      <c r="A31" s="15" t="s">
        <v>54</v>
      </c>
    </row>
    <row r="32" spans="1:1" ht="12.75" customHeight="1" x14ac:dyDescent="0.35">
      <c r="A32" s="16" t="s">
        <v>55</v>
      </c>
    </row>
    <row r="33" spans="1:1" ht="12.75" customHeight="1" x14ac:dyDescent="0.35">
      <c r="A33" s="17" t="s">
        <v>56</v>
      </c>
    </row>
    <row r="34" spans="1:1" ht="12.75" customHeight="1" x14ac:dyDescent="0.35">
      <c r="A34" s="18" t="s">
        <v>57</v>
      </c>
    </row>
  </sheetData>
  <sheetProtection algorithmName="SHA-512" hashValue="SR9MOXzfPPWM4M1Rghhzf4bB8ji8JXAkdIFQ6t1TzSLPpD3cfuiuda2boGiJjgl/N0sgEuiX0swej6CYhAcqgA==" saltValue="TQuZXkdDVkQEqb3OrH8ZdQ==" spinCount="100000" sheet="1" objects="1" scenarios="1"/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1"/>
  <sheetViews>
    <sheetView rightToLeft="1" zoomScaleNormal="100" workbookViewId="0">
      <selection activeCell="F15" sqref="F15:I15"/>
    </sheetView>
  </sheetViews>
  <sheetFormatPr defaultColWidth="8.6328125" defaultRowHeight="14.5" x14ac:dyDescent="0.35"/>
  <cols>
    <col min="1" max="1" width="8" style="7" customWidth="1"/>
    <col min="2" max="2" width="18" style="7" customWidth="1"/>
    <col min="3" max="3" width="10" style="7" customWidth="1"/>
    <col min="4" max="5" width="14" style="7" customWidth="1"/>
    <col min="6" max="8" width="16" style="7" customWidth="1"/>
    <col min="9" max="10" width="10" style="7" customWidth="1"/>
    <col min="11" max="11" width="12" style="7" customWidth="1"/>
    <col min="12" max="16384" width="8.6328125" style="7"/>
  </cols>
  <sheetData>
    <row r="1" spans="1:11" ht="27.75" customHeight="1" x14ac:dyDescent="0.35">
      <c r="A1" s="6" t="s">
        <v>150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21.75" customHeight="1" x14ac:dyDescent="0.35">
      <c r="A2" s="9" t="s">
        <v>16</v>
      </c>
      <c r="B2" s="9" t="s">
        <v>151</v>
      </c>
      <c r="C2" s="9" t="s">
        <v>152</v>
      </c>
      <c r="D2" s="9" t="s">
        <v>153</v>
      </c>
      <c r="E2" s="9" t="s">
        <v>19</v>
      </c>
      <c r="F2" s="9" t="s">
        <v>154</v>
      </c>
      <c r="G2" s="9" t="s">
        <v>77</v>
      </c>
      <c r="H2" s="9" t="s">
        <v>155</v>
      </c>
      <c r="I2" s="9" t="s">
        <v>156</v>
      </c>
      <c r="J2" s="9" t="s">
        <v>157</v>
      </c>
      <c r="K2" s="9" t="s">
        <v>29</v>
      </c>
    </row>
    <row r="3" spans="1:11" ht="15.75" customHeight="1" x14ac:dyDescent="0.35">
      <c r="A3" s="10"/>
      <c r="B3" s="10"/>
      <c r="C3" s="25">
        <v>0</v>
      </c>
      <c r="D3" s="11">
        <v>0</v>
      </c>
      <c r="E3" s="11">
        <v>0</v>
      </c>
      <c r="F3" s="30">
        <f t="shared" ref="F3:F14" si="0">C3*D3</f>
        <v>0</v>
      </c>
      <c r="G3" s="30">
        <f t="shared" ref="G3:G14" si="1">C3*E3</f>
        <v>0</v>
      </c>
      <c r="H3" s="30">
        <f t="shared" ref="H3:H14" si="2">G3-F3</f>
        <v>0</v>
      </c>
      <c r="I3" s="29">
        <f t="shared" ref="I3:I14" si="3">IF(F3=0,0,(G3-F3)/F3)</f>
        <v>0</v>
      </c>
      <c r="J3" s="29">
        <f t="shared" ref="J3:J14" si="4">IF(SUM(G$3:G$14)=0,0,G3/SUM(G$3:G$14))</f>
        <v>0</v>
      </c>
      <c r="K3" s="44" t="str">
        <f t="shared" ref="K3:K14" si="5">IF(F3=0,"",IF(I3&gt;0.2,"✅ احتفظ قوي",IF(I3&gt;0,"📈 احتفظ",IF(I3&gt;-0.1,"⚠️ راقب","⛔ راجع"))))</f>
        <v/>
      </c>
    </row>
    <row r="4" spans="1:11" ht="15.75" customHeight="1" x14ac:dyDescent="0.35">
      <c r="A4" s="10"/>
      <c r="B4" s="10"/>
      <c r="C4" s="25">
        <v>0</v>
      </c>
      <c r="D4" s="11">
        <v>0</v>
      </c>
      <c r="E4" s="11">
        <v>0</v>
      </c>
      <c r="F4" s="30">
        <f t="shared" si="0"/>
        <v>0</v>
      </c>
      <c r="G4" s="30">
        <f t="shared" si="1"/>
        <v>0</v>
      </c>
      <c r="H4" s="30">
        <f t="shared" si="2"/>
        <v>0</v>
      </c>
      <c r="I4" s="29">
        <f t="shared" si="3"/>
        <v>0</v>
      </c>
      <c r="J4" s="29">
        <f t="shared" si="4"/>
        <v>0</v>
      </c>
      <c r="K4" s="44" t="str">
        <f t="shared" si="5"/>
        <v/>
      </c>
    </row>
    <row r="5" spans="1:11" ht="15.75" customHeight="1" x14ac:dyDescent="0.35">
      <c r="A5" s="10"/>
      <c r="B5" s="10"/>
      <c r="C5" s="25">
        <v>0</v>
      </c>
      <c r="D5" s="11">
        <v>0</v>
      </c>
      <c r="E5" s="11">
        <v>0</v>
      </c>
      <c r="F5" s="30">
        <f t="shared" si="0"/>
        <v>0</v>
      </c>
      <c r="G5" s="30">
        <f t="shared" si="1"/>
        <v>0</v>
      </c>
      <c r="H5" s="30">
        <f t="shared" si="2"/>
        <v>0</v>
      </c>
      <c r="I5" s="29">
        <f t="shared" si="3"/>
        <v>0</v>
      </c>
      <c r="J5" s="29">
        <f t="shared" si="4"/>
        <v>0</v>
      </c>
      <c r="K5" s="44" t="str">
        <f t="shared" si="5"/>
        <v/>
      </c>
    </row>
    <row r="6" spans="1:11" ht="15.75" customHeight="1" x14ac:dyDescent="0.35">
      <c r="A6" s="10"/>
      <c r="B6" s="10"/>
      <c r="C6" s="25">
        <v>0</v>
      </c>
      <c r="D6" s="11">
        <v>0</v>
      </c>
      <c r="E6" s="11">
        <v>0</v>
      </c>
      <c r="F6" s="30">
        <f t="shared" si="0"/>
        <v>0</v>
      </c>
      <c r="G6" s="30">
        <f t="shared" si="1"/>
        <v>0</v>
      </c>
      <c r="H6" s="30">
        <f t="shared" si="2"/>
        <v>0</v>
      </c>
      <c r="I6" s="29">
        <f t="shared" si="3"/>
        <v>0</v>
      </c>
      <c r="J6" s="29">
        <f t="shared" si="4"/>
        <v>0</v>
      </c>
      <c r="K6" s="44" t="str">
        <f t="shared" si="5"/>
        <v/>
      </c>
    </row>
    <row r="7" spans="1:11" ht="15.75" customHeight="1" x14ac:dyDescent="0.35">
      <c r="A7" s="10"/>
      <c r="B7" s="10"/>
      <c r="C7" s="25">
        <v>0</v>
      </c>
      <c r="D7" s="11">
        <v>0</v>
      </c>
      <c r="E7" s="11">
        <v>0</v>
      </c>
      <c r="F7" s="30">
        <f t="shared" si="0"/>
        <v>0</v>
      </c>
      <c r="G7" s="30">
        <f t="shared" si="1"/>
        <v>0</v>
      </c>
      <c r="H7" s="30">
        <f t="shared" si="2"/>
        <v>0</v>
      </c>
      <c r="I7" s="29">
        <f t="shared" si="3"/>
        <v>0</v>
      </c>
      <c r="J7" s="29">
        <f t="shared" si="4"/>
        <v>0</v>
      </c>
      <c r="K7" s="44" t="str">
        <f t="shared" si="5"/>
        <v/>
      </c>
    </row>
    <row r="8" spans="1:11" ht="15.75" customHeight="1" x14ac:dyDescent="0.35">
      <c r="A8" s="10"/>
      <c r="B8" s="10"/>
      <c r="C8" s="25">
        <v>0</v>
      </c>
      <c r="D8" s="11">
        <v>0</v>
      </c>
      <c r="E8" s="11">
        <v>0</v>
      </c>
      <c r="F8" s="30">
        <f t="shared" si="0"/>
        <v>0</v>
      </c>
      <c r="G8" s="30">
        <f t="shared" si="1"/>
        <v>0</v>
      </c>
      <c r="H8" s="30">
        <f t="shared" si="2"/>
        <v>0</v>
      </c>
      <c r="I8" s="29">
        <f t="shared" si="3"/>
        <v>0</v>
      </c>
      <c r="J8" s="29">
        <f t="shared" si="4"/>
        <v>0</v>
      </c>
      <c r="K8" s="44" t="str">
        <f t="shared" si="5"/>
        <v/>
      </c>
    </row>
    <row r="9" spans="1:11" ht="15.75" customHeight="1" x14ac:dyDescent="0.35">
      <c r="A9" s="10"/>
      <c r="B9" s="10"/>
      <c r="C9" s="25">
        <v>0</v>
      </c>
      <c r="D9" s="11">
        <v>0</v>
      </c>
      <c r="E9" s="11">
        <v>0</v>
      </c>
      <c r="F9" s="30">
        <f t="shared" si="0"/>
        <v>0</v>
      </c>
      <c r="G9" s="30">
        <f t="shared" si="1"/>
        <v>0</v>
      </c>
      <c r="H9" s="30">
        <f t="shared" si="2"/>
        <v>0</v>
      </c>
      <c r="I9" s="29">
        <f t="shared" si="3"/>
        <v>0</v>
      </c>
      <c r="J9" s="29">
        <f t="shared" si="4"/>
        <v>0</v>
      </c>
      <c r="K9" s="44" t="str">
        <f t="shared" si="5"/>
        <v/>
      </c>
    </row>
    <row r="10" spans="1:11" ht="15.75" customHeight="1" x14ac:dyDescent="0.35">
      <c r="A10" s="10"/>
      <c r="B10" s="10"/>
      <c r="C10" s="25">
        <v>0</v>
      </c>
      <c r="D10" s="11">
        <v>0</v>
      </c>
      <c r="E10" s="11">
        <v>0</v>
      </c>
      <c r="F10" s="30">
        <f t="shared" si="0"/>
        <v>0</v>
      </c>
      <c r="G10" s="30">
        <f t="shared" si="1"/>
        <v>0</v>
      </c>
      <c r="H10" s="30">
        <f t="shared" si="2"/>
        <v>0</v>
      </c>
      <c r="I10" s="29">
        <f t="shared" si="3"/>
        <v>0</v>
      </c>
      <c r="J10" s="29">
        <f t="shared" si="4"/>
        <v>0</v>
      </c>
      <c r="K10" s="44" t="str">
        <f t="shared" si="5"/>
        <v/>
      </c>
    </row>
    <row r="11" spans="1:11" ht="15.75" customHeight="1" x14ac:dyDescent="0.35">
      <c r="A11" s="10"/>
      <c r="B11" s="10"/>
      <c r="C11" s="25">
        <v>0</v>
      </c>
      <c r="D11" s="11">
        <v>0</v>
      </c>
      <c r="E11" s="11">
        <v>0</v>
      </c>
      <c r="F11" s="30">
        <f t="shared" si="0"/>
        <v>0</v>
      </c>
      <c r="G11" s="30">
        <f t="shared" si="1"/>
        <v>0</v>
      </c>
      <c r="H11" s="30">
        <f t="shared" si="2"/>
        <v>0</v>
      </c>
      <c r="I11" s="29">
        <f t="shared" si="3"/>
        <v>0</v>
      </c>
      <c r="J11" s="29">
        <f t="shared" si="4"/>
        <v>0</v>
      </c>
      <c r="K11" s="44" t="str">
        <f t="shared" si="5"/>
        <v/>
      </c>
    </row>
    <row r="12" spans="1:11" ht="15.75" customHeight="1" x14ac:dyDescent="0.35">
      <c r="A12" s="10"/>
      <c r="B12" s="10"/>
      <c r="C12" s="25">
        <v>0</v>
      </c>
      <c r="D12" s="11">
        <v>0</v>
      </c>
      <c r="E12" s="11">
        <v>0</v>
      </c>
      <c r="F12" s="30">
        <f t="shared" si="0"/>
        <v>0</v>
      </c>
      <c r="G12" s="30">
        <f t="shared" si="1"/>
        <v>0</v>
      </c>
      <c r="H12" s="30">
        <f t="shared" si="2"/>
        <v>0</v>
      </c>
      <c r="I12" s="29">
        <f t="shared" si="3"/>
        <v>0</v>
      </c>
      <c r="J12" s="29">
        <f t="shared" si="4"/>
        <v>0</v>
      </c>
      <c r="K12" s="44" t="str">
        <f t="shared" si="5"/>
        <v/>
      </c>
    </row>
    <row r="13" spans="1:11" ht="15.75" customHeight="1" x14ac:dyDescent="0.35">
      <c r="A13" s="10"/>
      <c r="B13" s="10"/>
      <c r="C13" s="25">
        <v>0</v>
      </c>
      <c r="D13" s="11">
        <v>0</v>
      </c>
      <c r="E13" s="11">
        <v>0</v>
      </c>
      <c r="F13" s="30">
        <f t="shared" si="0"/>
        <v>0</v>
      </c>
      <c r="G13" s="30">
        <f t="shared" si="1"/>
        <v>0</v>
      </c>
      <c r="H13" s="30">
        <f t="shared" si="2"/>
        <v>0</v>
      </c>
      <c r="I13" s="29">
        <f t="shared" si="3"/>
        <v>0</v>
      </c>
      <c r="J13" s="29">
        <f t="shared" si="4"/>
        <v>0</v>
      </c>
      <c r="K13" s="44" t="str">
        <f t="shared" si="5"/>
        <v/>
      </c>
    </row>
    <row r="14" spans="1:11" ht="15.75" customHeight="1" x14ac:dyDescent="0.35">
      <c r="A14" s="10"/>
      <c r="B14" s="10"/>
      <c r="C14" s="25">
        <v>0</v>
      </c>
      <c r="D14" s="11">
        <v>0</v>
      </c>
      <c r="E14" s="11">
        <v>0</v>
      </c>
      <c r="F14" s="30">
        <f t="shared" si="0"/>
        <v>0</v>
      </c>
      <c r="G14" s="30">
        <f t="shared" si="1"/>
        <v>0</v>
      </c>
      <c r="H14" s="30">
        <f t="shared" si="2"/>
        <v>0</v>
      </c>
      <c r="I14" s="29">
        <f t="shared" si="3"/>
        <v>0</v>
      </c>
      <c r="J14" s="29">
        <f t="shared" si="4"/>
        <v>0</v>
      </c>
      <c r="K14" s="44" t="str">
        <f t="shared" si="5"/>
        <v/>
      </c>
    </row>
    <row r="15" spans="1:11" ht="19.5" customHeight="1" x14ac:dyDescent="0.35">
      <c r="A15" s="45" t="s">
        <v>158</v>
      </c>
      <c r="B15" s="45"/>
      <c r="C15" s="45"/>
      <c r="D15" s="45"/>
      <c r="E15" s="45"/>
      <c r="F15" s="33">
        <f>SUM(F3:F14)</f>
        <v>0</v>
      </c>
      <c r="G15" s="33">
        <f>SUM(G3:G14)</f>
        <v>0</v>
      </c>
      <c r="H15" s="33">
        <f>SUM(H3:H14)</f>
        <v>0</v>
      </c>
      <c r="I15" s="35">
        <f>IF(F15=0,0,H15/F15)</f>
        <v>0</v>
      </c>
    </row>
    <row r="17" spans="1:1" x14ac:dyDescent="0.35">
      <c r="A17" s="14" t="s">
        <v>53</v>
      </c>
    </row>
    <row r="18" spans="1:1" ht="12.75" customHeight="1" x14ac:dyDescent="0.35">
      <c r="A18" s="15" t="s">
        <v>54</v>
      </c>
    </row>
    <row r="19" spans="1:1" ht="12.75" customHeight="1" x14ac:dyDescent="0.35">
      <c r="A19" s="16" t="s">
        <v>55</v>
      </c>
    </row>
    <row r="20" spans="1:1" ht="12.75" customHeight="1" x14ac:dyDescent="0.35">
      <c r="A20" s="17" t="s">
        <v>56</v>
      </c>
    </row>
    <row r="21" spans="1:1" ht="12.75" customHeight="1" x14ac:dyDescent="0.35">
      <c r="A21" s="18" t="s">
        <v>57</v>
      </c>
    </row>
  </sheetData>
  <sheetProtection algorithmName="SHA-512" hashValue="KM03XbWp+2ATwXKwKMG3lTzPvkut7mS+3G/15VyjgNQsSE8L9lFcz3Lv1KEQD4L/mGIptPluS/C1VM3VAnVXIA==" saltValue="QyZaF+gRJNoaSP4htQRClw==" spinCount="100000" sheet="1" objects="1" scenarios="1"/>
  <mergeCells count="2">
    <mergeCell ref="A1:K1"/>
    <mergeCell ref="A15:E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6</vt:i4>
      </vt:variant>
    </vt:vector>
  </HeadingPairs>
  <TitlesOfParts>
    <vt:vector size="6" baseType="lpstr">
      <vt:lpstr>الغلاف</vt:lpstr>
      <vt:lpstr>فارز الأسهم</vt:lpstr>
      <vt:lpstr>التحليل الأساسي</vt:lpstr>
      <vt:lpstr>الفحص الشرعي</vt:lpstr>
      <vt:lpstr>مقارنة القطاعات</vt:lpstr>
      <vt:lpstr>متابعة المحفظة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abdullahmonief@outlook.sa</cp:lastModifiedBy>
  <cp:revision>1</cp:revision>
  <dcterms:created xsi:type="dcterms:W3CDTF">2026-06-09T11:18:56Z</dcterms:created>
  <dcterms:modified xsi:type="dcterms:W3CDTF">2026-06-11T18:31:46Z</dcterms:modified>
  <dc:language>en-US</dc:language>
</cp:coreProperties>
</file>