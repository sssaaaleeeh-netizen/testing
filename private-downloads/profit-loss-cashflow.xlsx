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C8F0AD8E-6FBB-4ED9-847F-ACBCE2FE223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قائمة الدخل" sheetId="2" r:id="rId2"/>
    <sheet name="التدفق النقدي" sheetId="3" r:id="rId3"/>
    <sheet name="نقطة التعادل" sheetId="4" r:id="rId4"/>
    <sheet name="مؤشرات الأداء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5" l="1"/>
  <c r="B13" i="5"/>
  <c r="B10" i="5"/>
  <c r="B6" i="5"/>
  <c r="B5" i="5"/>
  <c r="A28" i="4"/>
  <c r="B28" i="4" s="1"/>
  <c r="C28" i="4" s="1"/>
  <c r="A27" i="4"/>
  <c r="A26" i="4"/>
  <c r="A25" i="4"/>
  <c r="A24" i="4"/>
  <c r="B23" i="4"/>
  <c r="A23" i="4"/>
  <c r="C23" i="4" s="1"/>
  <c r="B22" i="4"/>
  <c r="A22" i="4"/>
  <c r="C22" i="4" s="1"/>
  <c r="B17" i="4"/>
  <c r="B16" i="4"/>
  <c r="B12" i="4"/>
  <c r="B11" i="4"/>
  <c r="B10" i="4"/>
  <c r="B9" i="5" s="1"/>
  <c r="B9" i="4"/>
  <c r="L29" i="3"/>
  <c r="J29" i="3"/>
  <c r="I29" i="3"/>
  <c r="H29" i="3"/>
  <c r="D29" i="3"/>
  <c r="B29" i="3"/>
  <c r="M27" i="3"/>
  <c r="L27" i="3"/>
  <c r="K27" i="3"/>
  <c r="J27" i="3"/>
  <c r="I27" i="3"/>
  <c r="H27" i="3"/>
  <c r="G27" i="3"/>
  <c r="F27" i="3"/>
  <c r="E27" i="3"/>
  <c r="N27" i="3" s="1"/>
  <c r="D27" i="3"/>
  <c r="C27" i="3"/>
  <c r="B27" i="3"/>
  <c r="N26" i="3"/>
  <c r="N25" i="3"/>
  <c r="N24" i="3"/>
  <c r="M21" i="3"/>
  <c r="L21" i="3"/>
  <c r="K21" i="3"/>
  <c r="J21" i="3"/>
  <c r="I21" i="3"/>
  <c r="H21" i="3"/>
  <c r="G21" i="3"/>
  <c r="F21" i="3"/>
  <c r="E21" i="3"/>
  <c r="N21" i="3" s="1"/>
  <c r="D21" i="3"/>
  <c r="C21" i="3"/>
  <c r="B21" i="3"/>
  <c r="N20" i="3"/>
  <c r="N19" i="3"/>
  <c r="N18" i="3"/>
  <c r="M15" i="3"/>
  <c r="L15" i="3"/>
  <c r="K15" i="3"/>
  <c r="K29" i="3" s="1"/>
  <c r="J15" i="3"/>
  <c r="I15" i="3"/>
  <c r="H15" i="3"/>
  <c r="G15" i="3"/>
  <c r="F15" i="3"/>
  <c r="F29" i="3" s="1"/>
  <c r="E15" i="3"/>
  <c r="N15" i="3" s="1"/>
  <c r="D15" i="3"/>
  <c r="C15" i="3"/>
  <c r="C29" i="3" s="1"/>
  <c r="B15" i="3"/>
  <c r="N14" i="3"/>
  <c r="N13" i="3"/>
  <c r="N12" i="3"/>
  <c r="N11" i="3"/>
  <c r="N10" i="3"/>
  <c r="M7" i="3"/>
  <c r="M29" i="3" s="1"/>
  <c r="L7" i="3"/>
  <c r="K7" i="3"/>
  <c r="J7" i="3"/>
  <c r="I7" i="3"/>
  <c r="H7" i="3"/>
  <c r="G7" i="3"/>
  <c r="G29" i="3" s="1"/>
  <c r="F7" i="3"/>
  <c r="E7" i="3"/>
  <c r="E29" i="3" s="1"/>
  <c r="D7" i="3"/>
  <c r="C7" i="3"/>
  <c r="B7" i="3"/>
  <c r="N7" i="3" s="1"/>
  <c r="N6" i="3"/>
  <c r="N5" i="3"/>
  <c r="I29" i="2"/>
  <c r="H29" i="2"/>
  <c r="G29" i="2"/>
  <c r="F29" i="2"/>
  <c r="M24" i="2"/>
  <c r="L24" i="2"/>
  <c r="K24" i="2"/>
  <c r="J24" i="2"/>
  <c r="I24" i="2"/>
  <c r="H24" i="2"/>
  <c r="G24" i="2"/>
  <c r="F24" i="2"/>
  <c r="E24" i="2"/>
  <c r="D24" i="2"/>
  <c r="C24" i="2"/>
  <c r="B24" i="2"/>
  <c r="N24" i="2" s="1"/>
  <c r="N23" i="2"/>
  <c r="N22" i="2"/>
  <c r="N21" i="2"/>
  <c r="N20" i="2"/>
  <c r="N19" i="2"/>
  <c r="N18" i="2"/>
  <c r="M15" i="2"/>
  <c r="M25" i="2" s="1"/>
  <c r="I15" i="2"/>
  <c r="I25" i="2" s="1"/>
  <c r="G15" i="2"/>
  <c r="G25" i="2" s="1"/>
  <c r="F15" i="2"/>
  <c r="F25" i="2" s="1"/>
  <c r="E15" i="2"/>
  <c r="E25" i="2" s="1"/>
  <c r="M14" i="2"/>
  <c r="L14" i="2"/>
  <c r="K14" i="2"/>
  <c r="J14" i="2"/>
  <c r="I14" i="2"/>
  <c r="H14" i="2"/>
  <c r="G14" i="2"/>
  <c r="F14" i="2"/>
  <c r="E14" i="2"/>
  <c r="D14" i="2"/>
  <c r="C14" i="2"/>
  <c r="B14" i="2"/>
  <c r="N14" i="2" s="1"/>
  <c r="N13" i="2"/>
  <c r="N12" i="2"/>
  <c r="N11" i="2"/>
  <c r="M8" i="2"/>
  <c r="M29" i="2" s="1"/>
  <c r="L8" i="2"/>
  <c r="L15" i="2" s="1"/>
  <c r="L25" i="2" s="1"/>
  <c r="K8" i="2"/>
  <c r="K15" i="2" s="1"/>
  <c r="K25" i="2" s="1"/>
  <c r="J8" i="2"/>
  <c r="J15" i="2" s="1"/>
  <c r="J25" i="2" s="1"/>
  <c r="I8" i="2"/>
  <c r="H8" i="2"/>
  <c r="H15" i="2" s="1"/>
  <c r="H25" i="2" s="1"/>
  <c r="G8" i="2"/>
  <c r="F8" i="2"/>
  <c r="E8" i="2"/>
  <c r="E29" i="2" s="1"/>
  <c r="D8" i="2"/>
  <c r="D15" i="2" s="1"/>
  <c r="D25" i="2" s="1"/>
  <c r="C8" i="2"/>
  <c r="C15" i="2" s="1"/>
  <c r="C25" i="2" s="1"/>
  <c r="B8" i="2"/>
  <c r="B15" i="2" s="1"/>
  <c r="N7" i="2"/>
  <c r="N6" i="2"/>
  <c r="N5" i="2"/>
  <c r="N4" i="2"/>
  <c r="B4" i="5" s="1"/>
  <c r="J27" i="2" l="1"/>
  <c r="J28" i="2" s="1"/>
  <c r="D27" i="2"/>
  <c r="D28" i="2" s="1"/>
  <c r="G27" i="2"/>
  <c r="G28" i="2"/>
  <c r="I28" i="2"/>
  <c r="I27" i="2"/>
  <c r="K27" i="2"/>
  <c r="K28" i="2"/>
  <c r="L27" i="2"/>
  <c r="L28" i="2"/>
  <c r="E27" i="2"/>
  <c r="E28" i="2"/>
  <c r="N29" i="3"/>
  <c r="H27" i="2"/>
  <c r="H28" i="2" s="1"/>
  <c r="M27" i="2"/>
  <c r="M28" i="2" s="1"/>
  <c r="B25" i="2"/>
  <c r="N15" i="2"/>
  <c r="C27" i="2"/>
  <c r="C28" i="2" s="1"/>
  <c r="F27" i="2"/>
  <c r="F28" i="2"/>
  <c r="B26" i="4"/>
  <c r="C26" i="4" s="1"/>
  <c r="N8" i="2"/>
  <c r="N29" i="2" s="1"/>
  <c r="J29" i="2"/>
  <c r="B24" i="4"/>
  <c r="C24" i="4" s="1"/>
  <c r="B29" i="2"/>
  <c r="C29" i="2"/>
  <c r="K29" i="2"/>
  <c r="B27" i="4"/>
  <c r="C27" i="4" s="1"/>
  <c r="D29" i="2"/>
  <c r="L29" i="2"/>
  <c r="B25" i="4"/>
  <c r="C25" i="4" s="1"/>
  <c r="B27" i="2" l="1"/>
  <c r="N27" i="2" s="1"/>
  <c r="N25" i="2"/>
  <c r="B28" i="2" l="1"/>
  <c r="N28" i="2" s="1"/>
</calcChain>
</file>

<file path=xl/sharedStrings.xml><?xml version="1.0" encoding="utf-8"?>
<sst xmlns="http://schemas.openxmlformats.org/spreadsheetml/2006/main" count="141" uniqueCount="117">
  <si>
    <t>نموذج الأرباح والخسائر والتدفق النقدي</t>
  </si>
  <si>
    <t>للشركات الصغيرة والمتوسطة · نموذج مالي شامل جاهز للاستخدام</t>
  </si>
  <si>
    <t>قائمة الدخل</t>
  </si>
  <si>
    <t>تحليل الإيرادات والتكاليف والأرباح شهرياً وسنوياً</t>
  </si>
  <si>
    <t>التدفق النقدي</t>
  </si>
  <si>
    <t>تتبع التدفقات الداخلة والخارجة والرصيد الختامي</t>
  </si>
  <si>
    <t>نقطة التعادل</t>
  </si>
  <si>
    <t>احسب الكمية والإيراد اللازمَيْن لتغطية التكاليف</t>
  </si>
  <si>
    <t>الميزانية العمومية</t>
  </si>
  <si>
    <t>ملخص الأصول والخصوم وحقوق الملكية</t>
  </si>
  <si>
    <t>مؤشرات الأداء</t>
  </si>
  <si>
    <t>KPIs رئيسية لمراقبة صحة العمل التجاري</t>
  </si>
  <si>
    <t>قائمة الأرباح والخسائر الشهرية</t>
  </si>
  <si>
    <t>البيان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</si>
  <si>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</si>
  <si>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</si>
  <si>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</si>
  <si>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</si>
  <si>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</si>
  <si>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</si>
  <si>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</si>
  <si>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</si>
  <si>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</si>
  <si>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</si>
  <si>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</si>
  <si>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</si>
  <si>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الإجمالي السنوي</t>
  </si>
  <si>
    <t>الإيرادات</t>
  </si>
  <si>
    <t xml:space="preserve">  المنتج/الخدمة الأولى</t>
  </si>
  <si>
    <t xml:space="preserve">  المنتج/الخدمة الثانية</t>
  </si>
  <si>
    <t xml:space="preserve">  المنتج/الخدمة الثالثة</t>
  </si>
  <si>
    <t xml:space="preserve">  الإيرادات الأخرى</t>
  </si>
  <si>
    <t>إجمالي الإيرادات</t>
  </si>
  <si>
    <t>تكلفة المبيعات (COGS)</t>
  </si>
  <si>
    <t xml:space="preserve">  تكلفة البضاعة المباعة</t>
  </si>
  <si>
    <t xml:space="preserve">  تكاليف الإنتاج المباشرة</t>
  </si>
  <si>
    <t xml:space="preserve">  العمالة المباشرة</t>
  </si>
  <si>
    <t>إجمالي تكلفة المبيعات</t>
  </si>
  <si>
    <t>✦ مجمل الربح (Gross Profit)</t>
  </si>
  <si>
    <t>المصاريف التشغيلية (OpEx)</t>
  </si>
  <si>
    <t xml:space="preserve">  الرواتب والأجور</t>
  </si>
  <si>
    <t xml:space="preserve">  الإيجار والمرافق</t>
  </si>
  <si>
    <t xml:space="preserve">  التسويق والإعلان</t>
  </si>
  <si>
    <t xml:space="preserve">  المصاريف الإدارية</t>
  </si>
  <si>
    <t xml:space="preserve">  الاستهلاك</t>
  </si>
  <si>
    <t xml:space="preserve">  مصاريف أخرى</t>
  </si>
  <si>
    <t>إجمالي المصاريف التشغيلية</t>
  </si>
  <si>
    <t>✦ الربح التشغيلي (EBIT)</t>
  </si>
  <si>
    <t>الزكاة والضرائب (2.5%)</t>
  </si>
  <si>
    <t>✦✦ صافي الربح (Net Profit)</t>
  </si>
  <si>
    <t>هامش صافي الربح %</t>
  </si>
  <si>
    <t>دليل الألوان</t>
  </si>
  <si>
    <t xml:space="preserve">   خلايا الإدخال – أدخل بياناتك هنا</t>
  </si>
  <si>
    <t xml:space="preserve">   خلايا الحسابات – لا تعدّل</t>
  </si>
  <si>
    <t xml:space="preserve">   النتائج الرئيسية</t>
  </si>
  <si>
    <t xml:space="preserve">   تحذير / نتيجة سلبية</t>
  </si>
  <si>
    <t>قائمة التدفق النقدي الشهري</t>
  </si>
  <si>
    <t>الإجمالي</t>
  </si>
  <si>
    <t>الرصيد الافتتاحي</t>
  </si>
  <si>
    <t>التدفقات النقدية التشغيلية</t>
  </si>
  <si>
    <t xml:space="preserve">  · التحصيلات من العملاء</t>
  </si>
  <si>
    <t xml:space="preserve">  · إيرادات أخرى</t>
  </si>
  <si>
    <t>صافي التدفقات النقدية التشغيلية</t>
  </si>
  <si>
    <t>المدفوعات التشغيلية</t>
  </si>
  <si>
    <t xml:space="preserve">  · مدفوعات الموردين</t>
  </si>
  <si>
    <t xml:space="preserve">  · الرواتب</t>
  </si>
  <si>
    <t xml:space="preserve">  · الإيجار</t>
  </si>
  <si>
    <t xml:space="preserve">  · المرافق والخدمات</t>
  </si>
  <si>
    <t xml:space="preserve">  · مصاريف تشغيلية أخرى</t>
  </si>
  <si>
    <t>صافي المدفوعات التشغيلية</t>
  </si>
  <si>
    <t>التدفقات الاستثمارية</t>
  </si>
  <si>
    <t xml:space="preserve">  · شراء أصول ثابتة</t>
  </si>
  <si>
    <t xml:space="preserve">  · بيع أصول</t>
  </si>
  <si>
    <t xml:space="preserve">  · استثمارات</t>
  </si>
  <si>
    <t>صافي التدفقات الاستثمارية</t>
  </si>
  <si>
    <t>التدفقات التمويلية</t>
  </si>
  <si>
    <t xml:space="preserve">  · قروض جديدة</t>
  </si>
  <si>
    <t xml:space="preserve">  · سداد قروض</t>
  </si>
  <si>
    <t xml:space="preserve">  · توزيع أرباح</t>
  </si>
  <si>
    <t>صافي التدفقات التمويلية</t>
  </si>
  <si>
    <t>✦ صافي التدفق النقدي الإجمالي</t>
  </si>
  <si>
    <t>حاسبة نقطة التعادل (Break-Even Analysis)</t>
  </si>
  <si>
    <t>أدخل بيانات التكاليف والسعر في الخلايا الزرقاء لمعرفة نقطة التعادل</t>
  </si>
  <si>
    <t>افتراضات الأسعار والتكاليف</t>
  </si>
  <si>
    <t>سعر بيع الوحدة (ريال)</t>
  </si>
  <si>
    <t>التكلفة المتغيرة للوحدة (ريال)</t>
  </si>
  <si>
    <t>إجمالي التكاليف الثابتة الشهرية (ريال)</t>
  </si>
  <si>
    <t>النتائج المحسوبة</t>
  </si>
  <si>
    <t>هامش المساهمة للوحدة (ريال)</t>
  </si>
  <si>
    <t>نسبة هامش المساهمة</t>
  </si>
  <si>
    <t>نقطة التعادل (وحدات)</t>
  </si>
  <si>
    <t>نقطة التعادل (إيرادات بالريال)</t>
  </si>
  <si>
    <t>تحليل الهدف الربحي</t>
  </si>
  <si>
    <t>الربح المستهدف شهرياً (ريال)</t>
  </si>
  <si>
    <t>الوحدات اللازمة لتحقيق الهدف</t>
  </si>
  <si>
    <t>الإيراد اللازم لتحقيق الهدف (ريال)</t>
  </si>
  <si>
    <t>جدول الحساسية – نقطة التعادل عند أسعار مختلفة</t>
  </si>
  <si>
    <t>سعر البيع (ريال)</t>
  </si>
  <si>
    <t>نقطة التعادل (ريال)</t>
  </si>
  <si>
    <t>لوحة مؤشرات الأداء الرئيسية (KPIs)</t>
  </si>
  <si>
    <t>مؤشرات الربحية</t>
  </si>
  <si>
    <t>هامش الربح الإجمالي</t>
  </si>
  <si>
    <t>المعيار: &gt; 40% جيد</t>
  </si>
  <si>
    <t>هامش صافي الربح</t>
  </si>
  <si>
    <t>المعيار: &gt; 10% جيد</t>
  </si>
  <si>
    <t>العائد على الإيرادات</t>
  </si>
  <si>
    <t>المعيار: كلما ارتفع كان أفضل</t>
  </si>
  <si>
    <t>مؤشرات السيولة</t>
  </si>
  <si>
    <t>نقطة التعادل (وحدات شهرياً)</t>
  </si>
  <si>
    <t>المعيار: أقل = أفضل</t>
  </si>
  <si>
    <t>الأشهر حتى التعادل</t>
  </si>
  <si>
    <t>المعيار: هدف: أقل من 12 شهراً</t>
  </si>
  <si>
    <t>مؤشرات النمو</t>
  </si>
  <si>
    <t>نمو الإيرادات (شهري)</t>
  </si>
  <si>
    <t>المعيار: &gt; 5% ممتاز</t>
  </si>
  <si>
    <t>نمو هامش الربح</t>
  </si>
  <si>
    <t>المعيار: إيجابي مستهدف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</si>
</sst>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(#,##0\)"/>
    <numFmt numFmtId="165" formatCode="0.0%"/>
    <numFmt numFmtId="166" formatCode="#,##0.0"/>
  </numFmts>
  <fonts count="19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2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B0000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i/>
      <sz val="9"/>
      <color rgb="FF2E5FA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99CCFF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8" fillId="6" borderId="2" xfId="0" applyFont="1" applyFill="1" applyBorder="1" applyAlignment="1" applyProtection="1">
      <alignment horizontal="left" vertical="center" wrapText="1"/>
      <protection locked="0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3" fillId="4" borderId="2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8" fillId="10" borderId="2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Protection="1">
      <protection locked="0"/>
    </xf>
    <xf numFmtId="0" fontId="14" fillId="5" borderId="2" xfId="0" applyFont="1" applyFill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6" fillId="8" borderId="2" xfId="0" applyFont="1" applyFill="1" applyBorder="1" applyProtection="1">
      <protection locked="0"/>
    </xf>
    <xf numFmtId="0" fontId="17" fillId="9" borderId="2" xfId="0" applyFont="1" applyFill="1" applyBorder="1" applyProtection="1">
      <protection locked="0"/>
    </xf>
    <xf numFmtId="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164" fontId="10" fillId="7" borderId="2" xfId="0" applyNumberFormat="1" applyFont="1" applyFill="1" applyBorder="1" applyAlignment="1" applyProtection="1">
      <alignment horizontal="right" vertical="center"/>
      <protection locked="0" hidden="1"/>
    </xf>
    <xf numFmtId="4" fontId="12" fillId="9" borderId="3" xfId="0" applyNumberFormat="1" applyFont="1" applyFill="1" applyBorder="1" applyAlignment="1" applyProtection="1">
      <alignment horizontal="right" vertical="center"/>
      <protection locked="0" hidden="1"/>
    </xf>
    <xf numFmtId="164" fontId="8" fillId="7" borderId="2" xfId="0" applyNumberFormat="1" applyFont="1" applyFill="1" applyBorder="1" applyAlignment="1" applyProtection="1">
      <alignment horizontal="right" vertical="center"/>
      <protection locked="0" hidden="1"/>
    </xf>
    <xf numFmtId="165" fontId="8" fillId="7" borderId="2" xfId="0" applyNumberFormat="1" applyFont="1" applyFill="1" applyBorder="1" applyAlignment="1" applyProtection="1">
      <alignment horizontal="right" vertical="center"/>
      <protection locked="0" hidden="1"/>
    </xf>
    <xf numFmtId="4" fontId="9" fillId="5" borderId="2" xfId="0" applyNumberFormat="1" applyFont="1" applyFill="1" applyBorder="1" applyAlignment="1" applyProtection="1">
      <alignment horizontal="right" vertical="center"/>
      <protection locked="0"/>
    </xf>
    <xf numFmtId="4" fontId="8" fillId="7" borderId="2" xfId="0" applyNumberFormat="1" applyFont="1" applyFill="1" applyBorder="1" applyAlignment="1" applyProtection="1">
      <alignment horizontal="right" vertical="center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left" vertical="center" wrapText="1"/>
      <protection locked="0"/>
    </xf>
    <xf numFmtId="16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165" fontId="11" fillId="8" borderId="3" xfId="0" applyNumberFormat="1" applyFont="1" applyFill="1" applyBorder="1" applyAlignment="1" applyProtection="1">
      <alignment horizontal="right" vertical="center"/>
      <protection locked="0" hidden="1"/>
    </xf>
    <xf numFmtId="4" fontId="8" fillId="7" borderId="2" xfId="0" applyNumberFormat="1" applyFont="1" applyFill="1" applyBorder="1" applyAlignment="1" applyProtection="1">
      <alignment horizontal="right" vertical="center"/>
      <protection locked="0" hidden="1"/>
    </xf>
    <xf numFmtId="3" fontId="8" fillId="7" borderId="2" xfId="0" applyNumberFormat="1" applyFont="1" applyFill="1" applyBorder="1" applyAlignment="1" applyProtection="1">
      <alignment horizontal="right" vertical="center"/>
      <protection locked="0" hidden="1"/>
    </xf>
    <xf numFmtId="0" fontId="18" fillId="0" borderId="0" xfId="0" applyFont="1" applyAlignment="1" applyProtection="1">
      <alignment horizontal="left" vertical="center" wrapText="1"/>
      <protection locked="0"/>
    </xf>
    <xf numFmtId="3" fontId="11" fillId="8" borderId="3" xfId="0" applyNumberFormat="1" applyFont="1" applyFill="1" applyBorder="1" applyAlignment="1" applyProtection="1">
      <alignment horizontal="right" vertical="center"/>
      <protection locked="0" hidden="1"/>
    </xf>
    <xf numFmtId="166" fontId="11" fillId="8" borderId="3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rightToLeft="1" tabSelected="1" topLeftCell="A10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18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8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8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8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8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8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" customHeight="1" x14ac:dyDescent="0.35"/>
    <row r="10" spans="1:10" ht="19.5" customHeight="1" x14ac:dyDescent="0.35">
      <c r="B10" s="2" t="s">
        <v>2</v>
      </c>
      <c r="C10" s="2"/>
      <c r="D10" s="2"/>
      <c r="E10" s="1" t="s">
        <v>3</v>
      </c>
      <c r="F10" s="1"/>
      <c r="G10" s="1"/>
      <c r="H10" s="1"/>
      <c r="I10" s="1"/>
      <c r="J10" s="1"/>
    </row>
    <row r="11" spans="1:10" ht="18" customHeight="1" x14ac:dyDescent="0.35"/>
    <row r="12" spans="1:10" ht="18" customHeight="1" x14ac:dyDescent="0.35"/>
    <row r="13" spans="1:10" ht="19.5" customHeight="1" x14ac:dyDescent="0.35">
      <c r="B13" s="2" t="s">
        <v>4</v>
      </c>
      <c r="C13" s="2"/>
      <c r="D13" s="2"/>
      <c r="E13" s="1" t="s">
        <v>5</v>
      </c>
      <c r="F13" s="1"/>
      <c r="G13" s="1"/>
      <c r="H13" s="1"/>
      <c r="I13" s="1"/>
      <c r="J13" s="1"/>
    </row>
    <row r="14" spans="1:10" ht="18" customHeight="1" x14ac:dyDescent="0.35"/>
    <row r="15" spans="1:10" ht="18" customHeight="1" x14ac:dyDescent="0.35"/>
    <row r="16" spans="1:10" ht="19.5" customHeight="1" x14ac:dyDescent="0.35">
      <c r="B16" s="2" t="s">
        <v>6</v>
      </c>
      <c r="C16" s="2"/>
      <c r="D16" s="2"/>
      <c r="E16" s="1" t="s">
        <v>7</v>
      </c>
      <c r="F16" s="1"/>
      <c r="G16" s="1"/>
      <c r="H16" s="1"/>
      <c r="I16" s="1"/>
      <c r="J16" s="1"/>
    </row>
    <row r="17" spans="2:10" ht="18" customHeight="1" x14ac:dyDescent="0.35"/>
    <row r="18" spans="2:10" ht="18" customHeight="1" x14ac:dyDescent="0.35"/>
    <row r="19" spans="2:10" ht="19.5" customHeight="1" x14ac:dyDescent="0.35">
      <c r="B19" s="2" t="s">
        <v>8</v>
      </c>
      <c r="C19" s="2"/>
      <c r="D19" s="2"/>
      <c r="E19" s="1" t="s">
        <v>9</v>
      </c>
      <c r="F19" s="1"/>
      <c r="G19" s="1"/>
      <c r="H19" s="1"/>
      <c r="I19" s="1"/>
      <c r="J19" s="1"/>
    </row>
    <row r="20" spans="2:10" ht="18" customHeight="1" x14ac:dyDescent="0.35"/>
    <row r="21" spans="2:10" ht="18" customHeight="1" x14ac:dyDescent="0.35"/>
    <row r="22" spans="2:10" ht="19.5" customHeight="1" x14ac:dyDescent="0.35">
      <c r="B22" s="2" t="s">
        <v>10</v>
      </c>
      <c r="C22" s="2"/>
      <c r="D22" s="2"/>
      <c r="E22" s="1" t="s">
        <v>11</v>
      </c>
      <c r="F22" s="1"/>
      <c r="G22" s="1"/>
      <c r="H22" s="1"/>
      <c r="I22" s="1"/>
      <c r="J22" s="1"/>
    </row>
    <row r="23" spans="2:10" ht="18" customHeight="1" x14ac:dyDescent="0.35"/>
    <row r="24" spans="2:10" ht="18" customHeight="1" x14ac:dyDescent="0.35"/>
    <row r="25" spans="2:10" ht="18" customHeight="1" x14ac:dyDescent="0.35"/>
    <row r="26" spans="2:10" ht="18" customHeight="1" x14ac:dyDescent="0.35"/>
    <row r="27" spans="2:10" ht="18" customHeight="1" x14ac:dyDescent="0.35"/>
    <row r="28" spans="2:10" ht="18" customHeight="1" x14ac:dyDescent="0.35"/>
    <row r="29" spans="2:10" ht="18" customHeight="1" x14ac:dyDescent="0.35"/>
    <row r="30" spans="2:10" ht="18" customHeight="1" x14ac:dyDescent="0.35"/>
    <row r="31" spans="2:10" ht="18" customHeight="1" x14ac:dyDescent="0.35"/>
    <row r="32" spans="2:10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</sheetData>
  <mergeCells count="12">
    <mergeCell ref="B16:D16"/>
    <mergeCell ref="E16:J16"/>
    <mergeCell ref="B19:D19"/>
    <mergeCell ref="E19:J19"/>
    <mergeCell ref="B22:D22"/>
    <mergeCell ref="E22:J22"/>
    <mergeCell ref="A1:J5"/>
    <mergeCell ref="A6:J7"/>
    <mergeCell ref="B10:D10"/>
    <mergeCell ref="E10:J10"/>
    <mergeCell ref="B13:D13"/>
    <mergeCell ref="E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rightToLeft="1" topLeftCell="A24" zoomScale="77" zoomScaleNormal="100" workbookViewId="0">
      <selection activeCell="L45" sqref="L45"/>
    </sheetView>
  </sheetViews>
  <sheetFormatPr defaultColWidth="8.6328125" defaultRowHeight="14.5" x14ac:dyDescent="0.35"/>
  <cols>
    <col min="1" max="1" width="30" style="7" customWidth="1"/>
    <col min="2" max="14" width="11" style="7" customWidth="1"/>
    <col min="15" max="16384" width="8.6328125" style="7"/>
  </cols>
  <sheetData>
    <row r="1" spans="1:14" ht="27.75" customHeight="1" x14ac:dyDescent="0.35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5" customHeight="1" x14ac:dyDescent="0.35">
      <c r="A2" s="8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10" t="s">
        <v>26</v>
      </c>
    </row>
    <row r="3" spans="1:14" ht="19.5" customHeight="1" x14ac:dyDescent="0.35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.75" customHeight="1" x14ac:dyDescent="0.35">
      <c r="A4" s="12" t="s">
        <v>28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24">
        <f>SUM(B4:M4)</f>
        <v>0</v>
      </c>
    </row>
    <row r="5" spans="1:14" ht="15.75" customHeight="1" x14ac:dyDescent="0.35">
      <c r="A5" s="12" t="s">
        <v>29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24">
        <f>SUM(B5:M5)</f>
        <v>0</v>
      </c>
    </row>
    <row r="6" spans="1:14" ht="15.75" customHeight="1" x14ac:dyDescent="0.35">
      <c r="A6" s="12" t="s">
        <v>30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24">
        <f>SUM(B6:M6)</f>
        <v>0</v>
      </c>
    </row>
    <row r="7" spans="1:14" ht="15.75" customHeight="1" x14ac:dyDescent="0.35">
      <c r="A7" s="12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24">
        <f>SUM(B7:M7)</f>
        <v>0</v>
      </c>
    </row>
    <row r="8" spans="1:14" ht="18" customHeight="1" x14ac:dyDescent="0.35">
      <c r="A8" s="14" t="s">
        <v>32</v>
      </c>
      <c r="B8" s="23">
        <f t="shared" ref="B8:M8" si="0">SUM(B4:B7)</f>
        <v>0</v>
      </c>
      <c r="C8" s="23">
        <f t="shared" si="0"/>
        <v>0</v>
      </c>
      <c r="D8" s="23">
        <f t="shared" si="0"/>
        <v>0</v>
      </c>
      <c r="E8" s="23">
        <f t="shared" si="0"/>
        <v>0</v>
      </c>
      <c r="F8" s="23">
        <f t="shared" si="0"/>
        <v>0</v>
      </c>
      <c r="G8" s="23">
        <f t="shared" si="0"/>
        <v>0</v>
      </c>
      <c r="H8" s="23">
        <f t="shared" si="0"/>
        <v>0</v>
      </c>
      <c r="I8" s="23">
        <f t="shared" si="0"/>
        <v>0</v>
      </c>
      <c r="J8" s="23">
        <f t="shared" si="0"/>
        <v>0</v>
      </c>
      <c r="K8" s="23">
        <f t="shared" si="0"/>
        <v>0</v>
      </c>
      <c r="L8" s="23">
        <f t="shared" si="0"/>
        <v>0</v>
      </c>
      <c r="M8" s="23">
        <f t="shared" si="0"/>
        <v>0</v>
      </c>
      <c r="N8" s="23">
        <f>SUM(B8:M8)</f>
        <v>0</v>
      </c>
    </row>
    <row r="10" spans="1:14" ht="19.5" customHeight="1" x14ac:dyDescent="0.35">
      <c r="A10" s="11" t="s">
        <v>33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5.75" customHeight="1" x14ac:dyDescent="0.35">
      <c r="A11" s="12" t="s">
        <v>34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24">
        <f>SUM(B11:M11)</f>
        <v>0</v>
      </c>
    </row>
    <row r="12" spans="1:14" ht="15.75" customHeight="1" x14ac:dyDescent="0.35">
      <c r="A12" s="12" t="s">
        <v>35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24">
        <f>SUM(B12:M12)</f>
        <v>0</v>
      </c>
    </row>
    <row r="13" spans="1:14" ht="15.75" customHeight="1" x14ac:dyDescent="0.35">
      <c r="A13" s="12" t="s">
        <v>36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24">
        <f>SUM(B13:M13)</f>
        <v>0</v>
      </c>
    </row>
    <row r="14" spans="1:14" ht="18" customHeight="1" x14ac:dyDescent="0.35">
      <c r="A14" s="14" t="s">
        <v>37</v>
      </c>
      <c r="B14" s="25">
        <f t="shared" ref="B14:M14" si="1">SUM(B12:B13)</f>
        <v>0</v>
      </c>
      <c r="C14" s="25">
        <f t="shared" si="1"/>
        <v>0</v>
      </c>
      <c r="D14" s="25">
        <f t="shared" si="1"/>
        <v>0</v>
      </c>
      <c r="E14" s="25">
        <f t="shared" si="1"/>
        <v>0</v>
      </c>
      <c r="F14" s="25">
        <f t="shared" si="1"/>
        <v>0</v>
      </c>
      <c r="G14" s="25">
        <f t="shared" si="1"/>
        <v>0</v>
      </c>
      <c r="H14" s="25">
        <f t="shared" si="1"/>
        <v>0</v>
      </c>
      <c r="I14" s="25">
        <f t="shared" si="1"/>
        <v>0</v>
      </c>
      <c r="J14" s="25">
        <f t="shared" si="1"/>
        <v>0</v>
      </c>
      <c r="K14" s="25">
        <f t="shared" si="1"/>
        <v>0</v>
      </c>
      <c r="L14" s="25">
        <f t="shared" si="1"/>
        <v>0</v>
      </c>
      <c r="M14" s="25">
        <f t="shared" si="1"/>
        <v>0</v>
      </c>
      <c r="N14" s="25">
        <f>SUM(B14:M14)</f>
        <v>0</v>
      </c>
    </row>
    <row r="15" spans="1:14" ht="19.5" customHeight="1" x14ac:dyDescent="0.35">
      <c r="A15" s="15" t="s">
        <v>38</v>
      </c>
      <c r="B15" s="23">
        <f t="shared" ref="B15:M15" si="2">B8-B14</f>
        <v>0</v>
      </c>
      <c r="C15" s="23">
        <f t="shared" si="2"/>
        <v>0</v>
      </c>
      <c r="D15" s="23">
        <f t="shared" si="2"/>
        <v>0</v>
      </c>
      <c r="E15" s="23">
        <f t="shared" si="2"/>
        <v>0</v>
      </c>
      <c r="F15" s="23">
        <f t="shared" si="2"/>
        <v>0</v>
      </c>
      <c r="G15" s="23">
        <f t="shared" si="2"/>
        <v>0</v>
      </c>
      <c r="H15" s="23">
        <f t="shared" si="2"/>
        <v>0</v>
      </c>
      <c r="I15" s="23">
        <f t="shared" si="2"/>
        <v>0</v>
      </c>
      <c r="J15" s="23">
        <f t="shared" si="2"/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>SUM(B15:M15)</f>
        <v>0</v>
      </c>
    </row>
    <row r="17" spans="1:14" ht="19.5" customHeight="1" x14ac:dyDescent="0.35">
      <c r="A17" s="11" t="s">
        <v>39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15.75" customHeight="1" x14ac:dyDescent="0.35">
      <c r="A18" s="12" t="s">
        <v>40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24">
        <f t="shared" ref="N18:N25" si="3">SUM(B18:M18)</f>
        <v>0</v>
      </c>
    </row>
    <row r="19" spans="1:14" ht="15.75" customHeight="1" x14ac:dyDescent="0.35">
      <c r="A19" s="12" t="s">
        <v>41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24">
        <f t="shared" si="3"/>
        <v>0</v>
      </c>
    </row>
    <row r="20" spans="1:14" ht="15.75" customHeight="1" x14ac:dyDescent="0.35">
      <c r="A20" s="12" t="s">
        <v>42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24">
        <f t="shared" si="3"/>
        <v>0</v>
      </c>
    </row>
    <row r="21" spans="1:14" ht="15.75" customHeight="1" x14ac:dyDescent="0.35">
      <c r="A21" s="12" t="s">
        <v>43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24">
        <f t="shared" si="3"/>
        <v>0</v>
      </c>
    </row>
    <row r="22" spans="1:14" ht="15.75" customHeight="1" x14ac:dyDescent="0.35">
      <c r="A22" s="12" t="s">
        <v>44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24">
        <f t="shared" si="3"/>
        <v>0</v>
      </c>
    </row>
    <row r="23" spans="1:14" ht="15.75" customHeight="1" x14ac:dyDescent="0.35">
      <c r="A23" s="12" t="s">
        <v>45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24">
        <f t="shared" si="3"/>
        <v>0</v>
      </c>
    </row>
    <row r="24" spans="1:14" ht="18" customHeight="1" x14ac:dyDescent="0.35">
      <c r="A24" s="14" t="s">
        <v>46</v>
      </c>
      <c r="B24" s="25">
        <f t="shared" ref="B24:M24" si="4">SUM(B19:B23)</f>
        <v>0</v>
      </c>
      <c r="C24" s="25">
        <f t="shared" si="4"/>
        <v>0</v>
      </c>
      <c r="D24" s="25">
        <f t="shared" si="4"/>
        <v>0</v>
      </c>
      <c r="E24" s="25">
        <f t="shared" si="4"/>
        <v>0</v>
      </c>
      <c r="F24" s="25">
        <f t="shared" si="4"/>
        <v>0</v>
      </c>
      <c r="G24" s="25">
        <f t="shared" si="4"/>
        <v>0</v>
      </c>
      <c r="H24" s="25">
        <f t="shared" si="4"/>
        <v>0</v>
      </c>
      <c r="I24" s="25">
        <f t="shared" si="4"/>
        <v>0</v>
      </c>
      <c r="J24" s="25">
        <f t="shared" si="4"/>
        <v>0</v>
      </c>
      <c r="K24" s="25">
        <f t="shared" si="4"/>
        <v>0</v>
      </c>
      <c r="L24" s="25">
        <f t="shared" si="4"/>
        <v>0</v>
      </c>
      <c r="M24" s="25">
        <f t="shared" si="4"/>
        <v>0</v>
      </c>
      <c r="N24" s="25">
        <f t="shared" si="3"/>
        <v>0</v>
      </c>
    </row>
    <row r="25" spans="1:14" ht="19.5" customHeight="1" x14ac:dyDescent="0.35">
      <c r="A25" s="15" t="s">
        <v>47</v>
      </c>
      <c r="B25" s="23">
        <f t="shared" ref="B25:M25" si="5">B15-B24</f>
        <v>0</v>
      </c>
      <c r="C25" s="23">
        <f t="shared" si="5"/>
        <v>0</v>
      </c>
      <c r="D25" s="23">
        <f t="shared" si="5"/>
        <v>0</v>
      </c>
      <c r="E25" s="23">
        <f t="shared" si="5"/>
        <v>0</v>
      </c>
      <c r="F25" s="23">
        <f t="shared" si="5"/>
        <v>0</v>
      </c>
      <c r="G25" s="23">
        <f t="shared" si="5"/>
        <v>0</v>
      </c>
      <c r="H25" s="23">
        <f t="shared" si="5"/>
        <v>0</v>
      </c>
      <c r="I25" s="23">
        <f t="shared" si="5"/>
        <v>0</v>
      </c>
      <c r="J25" s="23">
        <f t="shared" si="5"/>
        <v>0</v>
      </c>
      <c r="K25" s="23">
        <f t="shared" si="5"/>
        <v>0</v>
      </c>
      <c r="L25" s="23">
        <f t="shared" si="5"/>
        <v>0</v>
      </c>
      <c r="M25" s="23">
        <f t="shared" si="5"/>
        <v>0</v>
      </c>
      <c r="N25" s="23">
        <f t="shared" si="3"/>
        <v>0</v>
      </c>
    </row>
    <row r="27" spans="1:14" ht="15.75" customHeight="1" x14ac:dyDescent="0.35">
      <c r="A27" s="12" t="s">
        <v>48</v>
      </c>
      <c r="B27" s="26">
        <f t="shared" ref="B27:M27" si="6">IF(B25&gt;0,B25*0.025,0)</f>
        <v>0</v>
      </c>
      <c r="C27" s="26">
        <f t="shared" si="6"/>
        <v>0</v>
      </c>
      <c r="D27" s="26">
        <f t="shared" si="6"/>
        <v>0</v>
      </c>
      <c r="E27" s="26">
        <f t="shared" si="6"/>
        <v>0</v>
      </c>
      <c r="F27" s="26">
        <f t="shared" si="6"/>
        <v>0</v>
      </c>
      <c r="G27" s="26">
        <f t="shared" si="6"/>
        <v>0</v>
      </c>
      <c r="H27" s="26">
        <f t="shared" si="6"/>
        <v>0</v>
      </c>
      <c r="I27" s="26">
        <f t="shared" si="6"/>
        <v>0</v>
      </c>
      <c r="J27" s="26">
        <f t="shared" si="6"/>
        <v>0</v>
      </c>
      <c r="K27" s="26">
        <f t="shared" si="6"/>
        <v>0</v>
      </c>
      <c r="L27" s="26">
        <f t="shared" si="6"/>
        <v>0</v>
      </c>
      <c r="M27" s="26">
        <f t="shared" si="6"/>
        <v>0</v>
      </c>
      <c r="N27" s="26">
        <f>SUM(B27:M27)</f>
        <v>0</v>
      </c>
    </row>
    <row r="28" spans="1:14" ht="21.75" customHeight="1" x14ac:dyDescent="0.35">
      <c r="A28" s="16" t="s">
        <v>49</v>
      </c>
      <c r="B28" s="23">
        <f t="shared" ref="B28:M28" si="7">B25-B27</f>
        <v>0</v>
      </c>
      <c r="C28" s="23">
        <f t="shared" si="7"/>
        <v>0</v>
      </c>
      <c r="D28" s="23">
        <f t="shared" si="7"/>
        <v>0</v>
      </c>
      <c r="E28" s="23">
        <f t="shared" si="7"/>
        <v>0</v>
      </c>
      <c r="F28" s="23">
        <f t="shared" si="7"/>
        <v>0</v>
      </c>
      <c r="G28" s="23">
        <f t="shared" si="7"/>
        <v>0</v>
      </c>
      <c r="H28" s="23">
        <f t="shared" si="7"/>
        <v>0</v>
      </c>
      <c r="I28" s="23">
        <f t="shared" si="7"/>
        <v>0</v>
      </c>
      <c r="J28" s="23">
        <f t="shared" si="7"/>
        <v>0</v>
      </c>
      <c r="K28" s="23">
        <f t="shared" si="7"/>
        <v>0</v>
      </c>
      <c r="L28" s="23">
        <f t="shared" si="7"/>
        <v>0</v>
      </c>
      <c r="M28" s="23">
        <f t="shared" si="7"/>
        <v>0</v>
      </c>
      <c r="N28" s="23">
        <f>SUM(B28:M28)</f>
        <v>0</v>
      </c>
    </row>
    <row r="29" spans="1:14" ht="15.75" customHeight="1" x14ac:dyDescent="0.35">
      <c r="A29" s="17" t="s">
        <v>50</v>
      </c>
      <c r="B29" s="27">
        <f t="shared" ref="B29:N29" si="8">IF(B8=0,0,B28/B8)</f>
        <v>0</v>
      </c>
      <c r="C29" s="27">
        <f t="shared" si="8"/>
        <v>0</v>
      </c>
      <c r="D29" s="27">
        <f t="shared" si="8"/>
        <v>0</v>
      </c>
      <c r="E29" s="27">
        <f t="shared" si="8"/>
        <v>0</v>
      </c>
      <c r="F29" s="27">
        <f t="shared" si="8"/>
        <v>0</v>
      </c>
      <c r="G29" s="27">
        <f t="shared" si="8"/>
        <v>0</v>
      </c>
      <c r="H29" s="27">
        <f t="shared" si="8"/>
        <v>0</v>
      </c>
      <c r="I29" s="27">
        <f t="shared" si="8"/>
        <v>0</v>
      </c>
      <c r="J29" s="27">
        <f t="shared" si="8"/>
        <v>0</v>
      </c>
      <c r="K29" s="27">
        <f t="shared" si="8"/>
        <v>0</v>
      </c>
      <c r="L29" s="27">
        <f t="shared" si="8"/>
        <v>0</v>
      </c>
      <c r="M29" s="27">
        <f t="shared" si="8"/>
        <v>0</v>
      </c>
      <c r="N29" s="27">
        <f t="shared" si="8"/>
        <v>0</v>
      </c>
    </row>
    <row r="31" spans="1:14" x14ac:dyDescent="0.35">
      <c r="A31" s="18" t="s">
        <v>51</v>
      </c>
    </row>
    <row r="32" spans="1:14" ht="13.5" customHeight="1" x14ac:dyDescent="0.35">
      <c r="A32" s="19" t="s">
        <v>52</v>
      </c>
    </row>
    <row r="33" spans="1:1" ht="13.5" customHeight="1" x14ac:dyDescent="0.35">
      <c r="A33" s="20" t="s">
        <v>53</v>
      </c>
    </row>
    <row r="34" spans="1:1" ht="13.5" customHeight="1" x14ac:dyDescent="0.35">
      <c r="A34" s="21" t="s">
        <v>54</v>
      </c>
    </row>
    <row r="35" spans="1:1" ht="13.5" customHeight="1" x14ac:dyDescent="0.35">
      <c r="A35" s="22" t="s">
        <v>55</v>
      </c>
    </row>
  </sheetData>
  <sheetProtection algorithmName="SHA-512" hashValue="tWb9ZPG1gVwvIMNBjTFQIKPsmQlW9FY3tnNk83MSIMUV3Qdr6XBzvbfeDt07Y6Gns//fzRW3BMYnaA79h70/yA==" saltValue="YMKRBWT8hZbWQwj2g7S2Lg==" spinCount="100000" sheet="1" objects="1" scenarios="1"/>
  <mergeCells count="4">
    <mergeCell ref="A1:N1"/>
    <mergeCell ref="A3:N3"/>
    <mergeCell ref="A10:N10"/>
    <mergeCell ref="A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rightToLeft="1" topLeftCell="A6" zoomScale="64" zoomScaleNormal="100" workbookViewId="0">
      <selection activeCell="B29" sqref="B29:N29"/>
    </sheetView>
  </sheetViews>
  <sheetFormatPr defaultColWidth="8.6328125" defaultRowHeight="14.5" x14ac:dyDescent="0.35"/>
  <cols>
    <col min="1" max="1" width="30" style="7" customWidth="1"/>
    <col min="2" max="14" width="11" style="7" customWidth="1"/>
    <col min="15" max="16384" width="8.6328125" style="7"/>
  </cols>
  <sheetData>
    <row r="1" spans="1:14" ht="27.75" customHeight="1" x14ac:dyDescent="0.35">
      <c r="A1" s="6" t="s">
        <v>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5" customHeight="1" x14ac:dyDescent="0.35">
      <c r="A2" s="8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10" t="s">
        <v>57</v>
      </c>
    </row>
    <row r="3" spans="1:14" x14ac:dyDescent="0.35">
      <c r="A3" s="14" t="s">
        <v>58</v>
      </c>
      <c r="B3" s="28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</row>
    <row r="4" spans="1:14" ht="18" customHeight="1" x14ac:dyDescent="0.35">
      <c r="A4" s="11" t="s">
        <v>59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5.75" customHeight="1" x14ac:dyDescent="0.35">
      <c r="A5" s="12" t="s">
        <v>60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26">
        <f>SUM(B5:M5)</f>
        <v>0</v>
      </c>
    </row>
    <row r="6" spans="1:14" ht="15.75" customHeight="1" x14ac:dyDescent="0.35">
      <c r="A6" s="12" t="s">
        <v>61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26">
        <f>SUM(B6:M6)</f>
        <v>0</v>
      </c>
    </row>
    <row r="7" spans="1:14" ht="18" customHeight="1" x14ac:dyDescent="0.35">
      <c r="A7" s="30" t="s">
        <v>62</v>
      </c>
      <c r="B7" s="23">
        <f t="shared" ref="B7:M7" si="0">SUM(B5:B6)</f>
        <v>0</v>
      </c>
      <c r="C7" s="23">
        <f t="shared" si="0"/>
        <v>0</v>
      </c>
      <c r="D7" s="23">
        <f t="shared" si="0"/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  <c r="L7" s="23">
        <f t="shared" si="0"/>
        <v>0</v>
      </c>
      <c r="M7" s="23">
        <f t="shared" si="0"/>
        <v>0</v>
      </c>
      <c r="N7" s="23">
        <f>SUM(B7:M7)</f>
        <v>0</v>
      </c>
    </row>
    <row r="9" spans="1:14" ht="18" customHeight="1" x14ac:dyDescent="0.35">
      <c r="A9" s="11" t="s">
        <v>63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15.75" customHeight="1" x14ac:dyDescent="0.35">
      <c r="A10" s="12" t="s">
        <v>64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26">
        <f t="shared" ref="N10:N15" si="1">SUM(B10:M10)</f>
        <v>0</v>
      </c>
    </row>
    <row r="11" spans="1:14" ht="15.75" customHeight="1" x14ac:dyDescent="0.35">
      <c r="A11" s="12" t="s">
        <v>65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26">
        <f t="shared" si="1"/>
        <v>0</v>
      </c>
    </row>
    <row r="12" spans="1:14" ht="15.75" customHeight="1" x14ac:dyDescent="0.35">
      <c r="A12" s="12" t="s">
        <v>66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26">
        <f t="shared" si="1"/>
        <v>0</v>
      </c>
    </row>
    <row r="13" spans="1:14" ht="15.75" customHeight="1" x14ac:dyDescent="0.35">
      <c r="A13" s="12" t="s">
        <v>67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26">
        <f t="shared" si="1"/>
        <v>0</v>
      </c>
    </row>
    <row r="14" spans="1:14" ht="15.75" customHeight="1" x14ac:dyDescent="0.35">
      <c r="A14" s="12" t="s">
        <v>68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26">
        <f t="shared" si="1"/>
        <v>0</v>
      </c>
    </row>
    <row r="15" spans="1:14" ht="18" customHeight="1" x14ac:dyDescent="0.35">
      <c r="A15" s="30" t="s">
        <v>69</v>
      </c>
      <c r="B15" s="23">
        <f t="shared" ref="B15:M15" si="2">SUM(B10:B14)</f>
        <v>0</v>
      </c>
      <c r="C15" s="23">
        <f t="shared" si="2"/>
        <v>0</v>
      </c>
      <c r="D15" s="23">
        <f t="shared" si="2"/>
        <v>0</v>
      </c>
      <c r="E15" s="23">
        <f t="shared" si="2"/>
        <v>0</v>
      </c>
      <c r="F15" s="23">
        <f t="shared" si="2"/>
        <v>0</v>
      </c>
      <c r="G15" s="23">
        <f t="shared" si="2"/>
        <v>0</v>
      </c>
      <c r="H15" s="23">
        <f t="shared" si="2"/>
        <v>0</v>
      </c>
      <c r="I15" s="23">
        <f t="shared" si="2"/>
        <v>0</v>
      </c>
      <c r="J15" s="23">
        <f t="shared" si="2"/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 t="shared" si="1"/>
        <v>0</v>
      </c>
    </row>
    <row r="17" spans="1:14" ht="18" customHeight="1" x14ac:dyDescent="0.35">
      <c r="A17" s="11" t="s">
        <v>70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15.75" customHeight="1" x14ac:dyDescent="0.35">
      <c r="A18" s="12" t="s">
        <v>71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26">
        <f>SUM(B18:M18)</f>
        <v>0</v>
      </c>
    </row>
    <row r="19" spans="1:14" ht="15.75" customHeight="1" x14ac:dyDescent="0.35">
      <c r="A19" s="12" t="s">
        <v>72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26">
        <f>SUM(B19:M19)</f>
        <v>0</v>
      </c>
    </row>
    <row r="20" spans="1:14" ht="15.75" customHeight="1" x14ac:dyDescent="0.35">
      <c r="A20" s="12" t="s">
        <v>73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26">
        <f>SUM(B20:M20)</f>
        <v>0</v>
      </c>
    </row>
    <row r="21" spans="1:14" ht="18" customHeight="1" x14ac:dyDescent="0.35">
      <c r="A21" s="30" t="s">
        <v>74</v>
      </c>
      <c r="B21" s="23">
        <f t="shared" ref="B21:M21" si="3">SUM(B18:B20)</f>
        <v>0</v>
      </c>
      <c r="C21" s="23">
        <f t="shared" si="3"/>
        <v>0</v>
      </c>
      <c r="D21" s="23">
        <f t="shared" si="3"/>
        <v>0</v>
      </c>
      <c r="E21" s="23">
        <f t="shared" si="3"/>
        <v>0</v>
      </c>
      <c r="F21" s="23">
        <f t="shared" si="3"/>
        <v>0</v>
      </c>
      <c r="G21" s="23">
        <f t="shared" si="3"/>
        <v>0</v>
      </c>
      <c r="H21" s="23">
        <f t="shared" si="3"/>
        <v>0</v>
      </c>
      <c r="I21" s="23">
        <f t="shared" si="3"/>
        <v>0</v>
      </c>
      <c r="J21" s="23">
        <f t="shared" si="3"/>
        <v>0</v>
      </c>
      <c r="K21" s="23">
        <f t="shared" si="3"/>
        <v>0</v>
      </c>
      <c r="L21" s="23">
        <f t="shared" si="3"/>
        <v>0</v>
      </c>
      <c r="M21" s="23">
        <f t="shared" si="3"/>
        <v>0</v>
      </c>
      <c r="N21" s="23">
        <f>SUM(B21:M21)</f>
        <v>0</v>
      </c>
    </row>
    <row r="23" spans="1:14" ht="18" customHeight="1" x14ac:dyDescent="0.35">
      <c r="A23" s="11" t="s">
        <v>75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.75" customHeight="1" x14ac:dyDescent="0.35">
      <c r="A24" s="12" t="s">
        <v>76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26">
        <f>SUM(B24:M24)</f>
        <v>0</v>
      </c>
    </row>
    <row r="25" spans="1:14" ht="15.75" customHeight="1" x14ac:dyDescent="0.35">
      <c r="A25" s="12" t="s">
        <v>77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26">
        <f>SUM(B25:M25)</f>
        <v>0</v>
      </c>
    </row>
    <row r="26" spans="1:14" ht="15.75" customHeight="1" x14ac:dyDescent="0.35">
      <c r="A26" s="12" t="s">
        <v>78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26">
        <f>SUM(B26:M26)</f>
        <v>0</v>
      </c>
    </row>
    <row r="27" spans="1:14" ht="18" customHeight="1" x14ac:dyDescent="0.35">
      <c r="A27" s="30" t="s">
        <v>79</v>
      </c>
      <c r="B27" s="23">
        <f t="shared" ref="B27:M27" si="4">SUM(B24:B26)</f>
        <v>0</v>
      </c>
      <c r="C27" s="23">
        <f t="shared" si="4"/>
        <v>0</v>
      </c>
      <c r="D27" s="23">
        <f t="shared" si="4"/>
        <v>0</v>
      </c>
      <c r="E27" s="23">
        <f t="shared" si="4"/>
        <v>0</v>
      </c>
      <c r="F27" s="23">
        <f t="shared" si="4"/>
        <v>0</v>
      </c>
      <c r="G27" s="23">
        <f t="shared" si="4"/>
        <v>0</v>
      </c>
      <c r="H27" s="23">
        <f t="shared" si="4"/>
        <v>0</v>
      </c>
      <c r="I27" s="23">
        <f t="shared" si="4"/>
        <v>0</v>
      </c>
      <c r="J27" s="23">
        <f t="shared" si="4"/>
        <v>0</v>
      </c>
      <c r="K27" s="23">
        <f t="shared" si="4"/>
        <v>0</v>
      </c>
      <c r="L27" s="23">
        <f t="shared" si="4"/>
        <v>0</v>
      </c>
      <c r="M27" s="23">
        <f t="shared" si="4"/>
        <v>0</v>
      </c>
      <c r="N27" s="23">
        <f>SUM(B27:M27)</f>
        <v>0</v>
      </c>
    </row>
    <row r="29" spans="1:14" ht="21.75" customHeight="1" x14ac:dyDescent="0.35">
      <c r="A29" s="16" t="s">
        <v>80</v>
      </c>
      <c r="B29" s="23">
        <f t="shared" ref="B29:M29" si="5">B7+B15+B21+B27</f>
        <v>0</v>
      </c>
      <c r="C29" s="23">
        <f t="shared" si="5"/>
        <v>0</v>
      </c>
      <c r="D29" s="23">
        <f t="shared" si="5"/>
        <v>0</v>
      </c>
      <c r="E29" s="23">
        <f t="shared" si="5"/>
        <v>0</v>
      </c>
      <c r="F29" s="23">
        <f t="shared" si="5"/>
        <v>0</v>
      </c>
      <c r="G29" s="23">
        <f t="shared" si="5"/>
        <v>0</v>
      </c>
      <c r="H29" s="23">
        <f t="shared" si="5"/>
        <v>0</v>
      </c>
      <c r="I29" s="23">
        <f t="shared" si="5"/>
        <v>0</v>
      </c>
      <c r="J29" s="23">
        <f t="shared" si="5"/>
        <v>0</v>
      </c>
      <c r="K29" s="23">
        <f t="shared" si="5"/>
        <v>0</v>
      </c>
      <c r="L29" s="23">
        <f t="shared" si="5"/>
        <v>0</v>
      </c>
      <c r="M29" s="23">
        <f t="shared" si="5"/>
        <v>0</v>
      </c>
      <c r="N29" s="23">
        <f>SUM(B29:M29)</f>
        <v>0</v>
      </c>
    </row>
    <row r="31" spans="1:14" x14ac:dyDescent="0.35">
      <c r="A31" s="18" t="s">
        <v>51</v>
      </c>
    </row>
    <row r="32" spans="1:14" ht="13.5" customHeight="1" x14ac:dyDescent="0.35">
      <c r="A32" s="19" t="s">
        <v>52</v>
      </c>
    </row>
    <row r="33" spans="1:1" ht="13.5" customHeight="1" x14ac:dyDescent="0.35">
      <c r="A33" s="20" t="s">
        <v>53</v>
      </c>
    </row>
    <row r="34" spans="1:1" ht="13.5" customHeight="1" x14ac:dyDescent="0.35">
      <c r="A34" s="21" t="s">
        <v>54</v>
      </c>
    </row>
    <row r="35" spans="1:1" ht="13.5" customHeight="1" x14ac:dyDescent="0.35">
      <c r="A35" s="22" t="s">
        <v>55</v>
      </c>
    </row>
  </sheetData>
  <sheetProtection algorithmName="SHA-512" hashValue="sJ2Z03WS4yZ1+5tzX8YRzHYWmGzrkwK2AQ3gqAaQbx5WwEqeYKK+Gtv1LCHmgM53F8Gctsqow/EZo2+FEQGtMA==" saltValue="4lxtKXxqhsT0MWb6g3Ox/w==" spinCount="100000" sheet="1" objects="1" scenarios="1"/>
  <mergeCells count="5">
    <mergeCell ref="A1:N1"/>
    <mergeCell ref="A4:N4"/>
    <mergeCell ref="A9:N9"/>
    <mergeCell ref="A17:N17"/>
    <mergeCell ref="A23:N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rightToLeft="1" zoomScale="65" zoomScaleNormal="100" workbookViewId="0">
      <selection activeCell="A22" sqref="A22:C28"/>
    </sheetView>
  </sheetViews>
  <sheetFormatPr defaultColWidth="8.6328125" defaultRowHeight="14.5" x14ac:dyDescent="0.35"/>
  <cols>
    <col min="1" max="1" width="32" style="7" customWidth="1"/>
    <col min="2" max="3" width="22" style="7" customWidth="1"/>
    <col min="4" max="6" width="10" style="7" customWidth="1"/>
    <col min="7" max="16384" width="8.6328125" style="7"/>
  </cols>
  <sheetData>
    <row r="1" spans="1:6" ht="27.75" customHeight="1" x14ac:dyDescent="0.35">
      <c r="A1" s="6" t="s">
        <v>81</v>
      </c>
      <c r="B1" s="6"/>
      <c r="C1" s="6"/>
      <c r="D1" s="6"/>
      <c r="E1" s="6"/>
      <c r="F1" s="6"/>
    </row>
    <row r="2" spans="1:6" ht="15" customHeight="1" x14ac:dyDescent="0.35">
      <c r="A2" s="31" t="s">
        <v>82</v>
      </c>
      <c r="B2" s="31"/>
      <c r="C2" s="31"/>
      <c r="D2" s="31"/>
      <c r="E2" s="31"/>
      <c r="F2" s="31"/>
    </row>
    <row r="3" spans="1:6" ht="18" customHeight="1" x14ac:dyDescent="0.35">
      <c r="A3" s="32" t="s">
        <v>83</v>
      </c>
      <c r="B3" s="32"/>
      <c r="C3" s="32"/>
      <c r="D3" s="32"/>
      <c r="E3" s="32"/>
      <c r="F3" s="32"/>
    </row>
    <row r="4" spans="1:6" ht="18" customHeight="1" x14ac:dyDescent="0.35">
      <c r="A4" s="12" t="s">
        <v>84</v>
      </c>
      <c r="B4" s="28">
        <v>100</v>
      </c>
    </row>
    <row r="5" spans="1:6" ht="18" customHeight="1" x14ac:dyDescent="0.35">
      <c r="A5" s="12" t="s">
        <v>85</v>
      </c>
      <c r="B5" s="28">
        <v>60</v>
      </c>
    </row>
    <row r="6" spans="1:6" ht="18" customHeight="1" x14ac:dyDescent="0.35">
      <c r="A6" s="12" t="s">
        <v>86</v>
      </c>
      <c r="B6" s="28">
        <v>10000</v>
      </c>
    </row>
    <row r="7" spans="1:6" ht="7.5" customHeight="1" x14ac:dyDescent="0.35"/>
    <row r="8" spans="1:6" ht="18" customHeight="1" x14ac:dyDescent="0.35">
      <c r="A8" s="32" t="s">
        <v>87</v>
      </c>
      <c r="B8" s="32"/>
      <c r="C8" s="32"/>
      <c r="D8" s="32"/>
      <c r="E8" s="32"/>
      <c r="F8" s="32"/>
    </row>
    <row r="9" spans="1:6" ht="18" customHeight="1" x14ac:dyDescent="0.35">
      <c r="A9" s="12" t="s">
        <v>88</v>
      </c>
      <c r="B9" s="33">
        <f>B3-B4</f>
        <v>-100</v>
      </c>
    </row>
    <row r="10" spans="1:6" ht="18" customHeight="1" x14ac:dyDescent="0.35">
      <c r="A10" s="12" t="s">
        <v>89</v>
      </c>
      <c r="B10" s="34">
        <f>IF(B3=0,0,(B3-B4)/B3)</f>
        <v>0</v>
      </c>
    </row>
    <row r="11" spans="1:6" ht="18" customHeight="1" x14ac:dyDescent="0.35">
      <c r="A11" s="12" t="s">
        <v>90</v>
      </c>
      <c r="B11" s="33">
        <f>IF((B3-B4)=0,0,B5/(B3-B4))</f>
        <v>-0.6</v>
      </c>
    </row>
    <row r="12" spans="1:6" ht="18" customHeight="1" x14ac:dyDescent="0.35">
      <c r="A12" s="12" t="s">
        <v>91</v>
      </c>
      <c r="B12" s="33">
        <f>IF(B3=0,0,B10*B3)</f>
        <v>0</v>
      </c>
    </row>
    <row r="13" spans="1:6" ht="7.5" customHeight="1" x14ac:dyDescent="0.35"/>
    <row r="14" spans="1:6" ht="18" customHeight="1" x14ac:dyDescent="0.35">
      <c r="A14" s="32" t="s">
        <v>92</v>
      </c>
      <c r="B14" s="32"/>
      <c r="C14" s="32"/>
      <c r="D14" s="32"/>
      <c r="E14" s="32"/>
      <c r="F14" s="32"/>
    </row>
    <row r="15" spans="1:6" ht="18" customHeight="1" x14ac:dyDescent="0.35">
      <c r="A15" s="12" t="s">
        <v>93</v>
      </c>
      <c r="B15" s="28">
        <v>5000</v>
      </c>
    </row>
    <row r="16" spans="1:6" ht="18" customHeight="1" x14ac:dyDescent="0.35">
      <c r="A16" s="12" t="s">
        <v>94</v>
      </c>
      <c r="B16" s="33">
        <f>IF((B3-B4)=0,0,(B5+B14)/(B3-B4))</f>
        <v>-0.6</v>
      </c>
    </row>
    <row r="17" spans="1:6" ht="18" customHeight="1" x14ac:dyDescent="0.35">
      <c r="A17" s="12" t="s">
        <v>95</v>
      </c>
      <c r="B17" s="33">
        <f>IF(B3=0,0,B15*B3)</f>
        <v>0</v>
      </c>
    </row>
    <row r="20" spans="1:6" ht="19.5" customHeight="1" x14ac:dyDescent="0.35">
      <c r="A20" s="11" t="s">
        <v>96</v>
      </c>
      <c r="B20" s="11"/>
      <c r="C20" s="11"/>
      <c r="D20" s="11"/>
      <c r="E20" s="11"/>
      <c r="F20" s="11"/>
    </row>
    <row r="21" spans="1:6" x14ac:dyDescent="0.35">
      <c r="A21" s="9" t="s">
        <v>97</v>
      </c>
      <c r="B21" s="9" t="s">
        <v>90</v>
      </c>
      <c r="C21" s="9" t="s">
        <v>98</v>
      </c>
    </row>
    <row r="22" spans="1:6" ht="15.75" customHeight="1" x14ac:dyDescent="0.35">
      <c r="A22" s="35">
        <f>B3*0.7</f>
        <v>0</v>
      </c>
      <c r="B22" s="36" t="str">
        <f>IF((A22-B4)&lt;=0,"غير ممكن",B5/(A22-B4))</f>
        <v>غير ممكن</v>
      </c>
      <c r="C22" s="36" t="str">
        <f t="shared" ref="C22:C28" si="0">IFERROR(A22*B22,"غير ممكن")</f>
        <v>غير ممكن</v>
      </c>
    </row>
    <row r="23" spans="1:6" ht="15.75" customHeight="1" x14ac:dyDescent="0.35">
      <c r="A23" s="35">
        <f>B3*0.8</f>
        <v>0</v>
      </c>
      <c r="B23" s="36" t="str">
        <f>IF((A23-B4)&lt;=0,"غير ممكن",B5/(A23-B4))</f>
        <v>غير ممكن</v>
      </c>
      <c r="C23" s="36" t="str">
        <f t="shared" si="0"/>
        <v>غير ممكن</v>
      </c>
    </row>
    <row r="24" spans="1:6" ht="15.75" customHeight="1" x14ac:dyDescent="0.35">
      <c r="A24" s="35">
        <f>B3*0.9</f>
        <v>0</v>
      </c>
      <c r="B24" s="36" t="str">
        <f>IF((A24-B4)&lt;=0,"غير ممكن",B5/(A24-B4))</f>
        <v>غير ممكن</v>
      </c>
      <c r="C24" s="36" t="str">
        <f t="shared" si="0"/>
        <v>غير ممكن</v>
      </c>
    </row>
    <row r="25" spans="1:6" ht="15.75" customHeight="1" x14ac:dyDescent="0.35">
      <c r="A25" s="35">
        <f>B3*1</f>
        <v>0</v>
      </c>
      <c r="B25" s="36" t="str">
        <f>IF((A25-B4)&lt;=0,"غير ممكن",B5/(A25-B4))</f>
        <v>غير ممكن</v>
      </c>
      <c r="C25" s="36" t="str">
        <f t="shared" si="0"/>
        <v>غير ممكن</v>
      </c>
    </row>
    <row r="26" spans="1:6" ht="15.75" customHeight="1" x14ac:dyDescent="0.35">
      <c r="A26" s="35">
        <f>B3*1.1</f>
        <v>0</v>
      </c>
      <c r="B26" s="36" t="str">
        <f>IF((A26-B4)&lt;=0,"غير ممكن",B5/(A26-B4))</f>
        <v>غير ممكن</v>
      </c>
      <c r="C26" s="36" t="str">
        <f t="shared" si="0"/>
        <v>غير ممكن</v>
      </c>
    </row>
    <row r="27" spans="1:6" ht="15.75" customHeight="1" x14ac:dyDescent="0.35">
      <c r="A27" s="35">
        <f>B3*1.2</f>
        <v>0</v>
      </c>
      <c r="B27" s="36" t="str">
        <f>IF((A27-B4)&lt;=0,"غير ممكن",B5/(A27-B4))</f>
        <v>غير ممكن</v>
      </c>
      <c r="C27" s="36" t="str">
        <f t="shared" si="0"/>
        <v>غير ممكن</v>
      </c>
    </row>
    <row r="28" spans="1:6" ht="15.75" customHeight="1" x14ac:dyDescent="0.35">
      <c r="A28" s="35">
        <f>B3*1.3</f>
        <v>0</v>
      </c>
      <c r="B28" s="36" t="str">
        <f>IF((A28-B4)&lt;=0,"غير ممكن",B5/(A28-B4))</f>
        <v>غير ممكن</v>
      </c>
      <c r="C28" s="36" t="str">
        <f t="shared" si="0"/>
        <v>غير ممكن</v>
      </c>
    </row>
    <row r="30" spans="1:6" x14ac:dyDescent="0.35">
      <c r="A30" s="18" t="s">
        <v>51</v>
      </c>
    </row>
    <row r="31" spans="1:6" ht="13.5" customHeight="1" x14ac:dyDescent="0.35">
      <c r="A31" s="19" t="s">
        <v>52</v>
      </c>
    </row>
    <row r="32" spans="1:6" ht="13.5" customHeight="1" x14ac:dyDescent="0.35">
      <c r="A32" s="20" t="s">
        <v>53</v>
      </c>
    </row>
    <row r="33" spans="1:1" ht="13.5" customHeight="1" x14ac:dyDescent="0.35">
      <c r="A33" s="21" t="s">
        <v>54</v>
      </c>
    </row>
    <row r="34" spans="1:1" ht="13.5" customHeight="1" x14ac:dyDescent="0.35">
      <c r="A34" s="22" t="s">
        <v>55</v>
      </c>
    </row>
  </sheetData>
  <sheetProtection algorithmName="SHA-512" hashValue="z6P2c0S+Avj1CarzwEcUJoRRctMVLO9ohBIRJrHIBCSYoVmG7BamuQnUY7RuQTtfIgX9/NutwQrOFcZYUb0Gwg==" saltValue="fcCeQjPTgh4KuxaoZOaVSw==" spinCount="100000" sheet="1" objects="1" scenarios="1"/>
  <mergeCells count="6">
    <mergeCell ref="A20:F20"/>
    <mergeCell ref="A1:F1"/>
    <mergeCell ref="A2:F2"/>
    <mergeCell ref="A3:F3"/>
    <mergeCell ref="A8:F8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rightToLeft="1" zoomScaleNormal="100" workbookViewId="0">
      <selection activeCell="B13" sqref="B13:B14"/>
    </sheetView>
  </sheetViews>
  <sheetFormatPr defaultColWidth="8.6328125" defaultRowHeight="14.5" x14ac:dyDescent="0.35"/>
  <cols>
    <col min="1" max="1" width="30" style="7" customWidth="1"/>
    <col min="2" max="2" width="18" style="7" customWidth="1"/>
    <col min="3" max="3" width="28" style="7" customWidth="1"/>
    <col min="4" max="5" width="10" style="7" customWidth="1"/>
    <col min="6" max="16384" width="8.6328125" style="7"/>
  </cols>
  <sheetData>
    <row r="1" spans="1:5" ht="27.75" customHeight="1" x14ac:dyDescent="0.35">
      <c r="A1" s="6" t="s">
        <v>99</v>
      </c>
      <c r="B1" s="6"/>
      <c r="C1" s="6"/>
      <c r="D1" s="6"/>
      <c r="E1" s="6"/>
    </row>
    <row r="3" spans="1:5" ht="19.5" customHeight="1" x14ac:dyDescent="0.35">
      <c r="A3" s="11" t="s">
        <v>100</v>
      </c>
      <c r="B3" s="11"/>
      <c r="C3" s="11"/>
      <c r="D3" s="11"/>
      <c r="E3" s="11"/>
    </row>
    <row r="4" spans="1:5" ht="18" customHeight="1" x14ac:dyDescent="0.35">
      <c r="A4" s="12" t="s">
        <v>101</v>
      </c>
      <c r="B4" s="34">
        <f>IF('قائمة الدخل'!N4=0,0,('قائمة الدخل'!N4-'قائمة الدخل'!N8)/'قائمة الدخل'!N4)</f>
        <v>0</v>
      </c>
      <c r="C4" s="37" t="s">
        <v>102</v>
      </c>
    </row>
    <row r="5" spans="1:5" ht="18" customHeight="1" x14ac:dyDescent="0.35">
      <c r="A5" s="12" t="s">
        <v>103</v>
      </c>
      <c r="B5" s="34">
        <f>0</f>
        <v>0</v>
      </c>
      <c r="C5" s="37" t="s">
        <v>104</v>
      </c>
    </row>
    <row r="6" spans="1:5" ht="18" customHeight="1" x14ac:dyDescent="0.35">
      <c r="A6" s="12" t="s">
        <v>105</v>
      </c>
      <c r="B6" s="34">
        <f>0</f>
        <v>0</v>
      </c>
      <c r="C6" s="37" t="s">
        <v>106</v>
      </c>
    </row>
    <row r="8" spans="1:5" ht="19.5" customHeight="1" x14ac:dyDescent="0.35">
      <c r="A8" s="11" t="s">
        <v>107</v>
      </c>
      <c r="B8" s="11"/>
      <c r="C8" s="11"/>
      <c r="D8" s="11"/>
      <c r="E8" s="11"/>
    </row>
    <row r="9" spans="1:5" ht="18" customHeight="1" x14ac:dyDescent="0.35">
      <c r="A9" s="12" t="s">
        <v>108</v>
      </c>
      <c r="B9" s="38">
        <f>'نقطة التعادل'!B10</f>
        <v>0</v>
      </c>
      <c r="C9" s="37" t="s">
        <v>109</v>
      </c>
    </row>
    <row r="10" spans="1:5" ht="18" customHeight="1" x14ac:dyDescent="0.35">
      <c r="A10" s="12" t="s">
        <v>110</v>
      </c>
      <c r="B10" s="39">
        <f>0</f>
        <v>0</v>
      </c>
      <c r="C10" s="37" t="s">
        <v>111</v>
      </c>
    </row>
    <row r="12" spans="1:5" ht="19.5" customHeight="1" x14ac:dyDescent="0.35">
      <c r="A12" s="11" t="s">
        <v>112</v>
      </c>
      <c r="B12" s="11"/>
      <c r="C12" s="11"/>
      <c r="D12" s="11"/>
      <c r="E12" s="11"/>
    </row>
    <row r="13" spans="1:5" ht="18" customHeight="1" x14ac:dyDescent="0.35">
      <c r="A13" s="12" t="s">
        <v>113</v>
      </c>
      <c r="B13" s="34">
        <f>0</f>
        <v>0</v>
      </c>
      <c r="C13" s="37" t="s">
        <v>114</v>
      </c>
    </row>
    <row r="14" spans="1:5" ht="18" customHeight="1" x14ac:dyDescent="0.35">
      <c r="A14" s="12" t="s">
        <v>115</v>
      </c>
      <c r="B14" s="34">
        <f>0</f>
        <v>0</v>
      </c>
      <c r="C14" s="37" t="s">
        <v>116</v>
      </c>
    </row>
  </sheetData>
  <sheetProtection algorithmName="SHA-512" hashValue="Ci1mQvzceF/LdyARntG5TwemlMruxkA8dCdyKgWGZ8HK1oiF8r/c3cfGCHYmro7vZaQFNopwR4Anaiz8bXVaLg==" saltValue="J2sY8IceSSItIw2tA2VILA==" spinCount="100000" sheet="1" objects="1" scenarios="1"/>
  <mergeCells count="4">
    <mergeCell ref="A1:E1"/>
    <mergeCell ref="A3:E3"/>
    <mergeCell ref="A8:E8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الغلاف</vt:lpstr>
      <vt:lpstr>قائمة الدخل</vt:lpstr>
      <vt:lpstr>التدفق النقدي</vt:lpstr>
      <vt:lpstr>نقطة التعادل</vt:lpstr>
      <vt:lpstr>مؤشرات الأداء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2026-06-08T08:32:15Z</dcterms:created>
  <dcterms:modified xsi:type="dcterms:W3CDTF">2026-06-11T18:37:41Z</dcterms:modified>
  <dc:language>en-US</dc:language>
</cp:coreProperties>
</file>