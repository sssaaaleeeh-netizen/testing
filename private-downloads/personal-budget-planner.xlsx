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dul\Downloads\مجلد جديد\"/>
    </mc:Choice>
  </mc:AlternateContent>
  <xr:revisionPtr revIDLastSave="0" documentId="13_ncr:1_{E448F576-0A58-4030-A619-EE1EE2390965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الغلاف" sheetId="1" r:id="rId1"/>
    <sheet name="الميزانية الشهرية" sheetId="2" r:id="rId2"/>
    <sheet name="المتابعة السنوية" sheetId="3" r:id="rId3"/>
    <sheet name="أهداف الادخار" sheetId="4" r:id="rId4"/>
    <sheet name="صافي الثروة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8" i="5" l="1"/>
  <c r="C17" i="5"/>
  <c r="C30" i="5" s="1"/>
  <c r="G10" i="4"/>
  <c r="F10" i="4"/>
  <c r="D10" i="4"/>
  <c r="G9" i="4"/>
  <c r="D9" i="4"/>
  <c r="F9" i="4" s="1"/>
  <c r="G8" i="4"/>
  <c r="F8" i="4"/>
  <c r="D8" i="4"/>
  <c r="G7" i="4"/>
  <c r="D7" i="4"/>
  <c r="F7" i="4" s="1"/>
  <c r="G6" i="4"/>
  <c r="F6" i="4"/>
  <c r="D6" i="4"/>
  <c r="G5" i="4"/>
  <c r="D5" i="4"/>
  <c r="F5" i="4" s="1"/>
  <c r="G4" i="4"/>
  <c r="D4" i="4"/>
  <c r="F4" i="4" s="1"/>
  <c r="G3" i="4"/>
  <c r="F3" i="4"/>
  <c r="D3" i="4"/>
  <c r="N6" i="3"/>
  <c r="N5" i="3"/>
  <c r="N4" i="3"/>
  <c r="N3" i="3"/>
  <c r="C63" i="2"/>
  <c r="C62" i="2"/>
  <c r="C61" i="2"/>
  <c r="E57" i="2"/>
  <c r="C57" i="2"/>
  <c r="F57" i="2" s="1"/>
  <c r="F56" i="2"/>
  <c r="F55" i="2"/>
  <c r="F54" i="2"/>
  <c r="F52" i="2"/>
  <c r="F51" i="2"/>
  <c r="F50" i="2"/>
  <c r="F48" i="2"/>
  <c r="F47" i="2"/>
  <c r="F45" i="2"/>
  <c r="F44" i="2"/>
  <c r="F43" i="2"/>
  <c r="F41" i="2"/>
  <c r="F40" i="2"/>
  <c r="F39" i="2"/>
  <c r="F37" i="2"/>
  <c r="F36" i="2"/>
  <c r="F35" i="2"/>
  <c r="F33" i="2"/>
  <c r="F32" i="2"/>
  <c r="F31" i="2"/>
  <c r="F30" i="2"/>
  <c r="F28" i="2"/>
  <c r="F27" i="2"/>
  <c r="F26" i="2"/>
  <c r="F24" i="2"/>
  <c r="F23" i="2"/>
  <c r="F22" i="2"/>
  <c r="F21" i="2"/>
  <c r="F20" i="2"/>
  <c r="E15" i="2"/>
  <c r="C15" i="2"/>
  <c r="C60" i="2" s="1"/>
  <c r="F14" i="2"/>
  <c r="F13" i="2"/>
  <c r="F12" i="2"/>
  <c r="F11" i="2"/>
  <c r="F10" i="2"/>
  <c r="F9" i="2"/>
  <c r="F8" i="2"/>
  <c r="F7" i="2"/>
  <c r="F15" i="2" l="1"/>
</calcChain>
</file>

<file path=xl/sharedStrings.xml><?xml version="1.0" encoding="utf-8"?>
<sst xmlns="http://schemas.openxmlformats.org/spreadsheetml/2006/main" count="157" uniqueCount="141">
  <si>
    <t>مخطط الميزانية والادخار الشخصي</t>
  </si>
  <si>
    <t>تتبع دخلك · راقب مصاريفك · خطط لادخارك · حقق أهدافك المالية</t>
  </si>
  <si>
    <t>📊 تتبع الدخل الشهري</t>
  </si>
  <si>
    <t>💸 تصنيف المصاريف</t>
  </si>
  <si>
    <t>💰 خطة الادخار</t>
  </si>
  <si>
    <t>سجّل كل مصادر دخلك بوضوح</t>
  </si>
  <si>
    <t>15 فئة مصروف قابلة للتخصيص</t>
  </si>
  <si>
    <t>احسب معدل الادخار وتتبع التقدم</t>
  </si>
  <si>
    <t>🎯 الأهداف المالية</t>
  </si>
  <si>
    <t>📈 تحليل بصري</t>
  </si>
  <si>
    <t>📅 تخطيط 12 شهراً</t>
  </si>
  <si>
    <t>ضع أهدافاً وتابع التحقيق</t>
  </si>
  <si>
    <t>رسوم بيانية تلقائية</t>
  </si>
  <si>
    <t>نظرة سنوية كاملة</t>
  </si>
  <si>
    <t>الميزانية الشهرية التفصيلية</t>
  </si>
  <si>
    <t>أدخل الشهر والسنة، ثم سجّل الدخل والمصاريف في الخلايا الزرقاء</t>
  </si>
  <si>
    <t>الشهر</t>
  </si>
  <si>
    <t>يناير</t>
  </si>
  <si>
    <t>السنة</t>
  </si>
  <si>
    <t>القسم الأول: الدخل الشهري</t>
  </si>
  <si>
    <t>مصدر الدخل</t>
  </si>
  <si>
    <t>المبلغ الفعلي (ريال)</t>
  </si>
  <si>
    <t>المبلغ المخطط (ريال)</t>
  </si>
  <si>
    <t>الفرق</t>
  </si>
  <si>
    <t>ملاحظات</t>
  </si>
  <si>
    <t>الراتب الأساسي</t>
  </si>
  <si>
    <t>بدل السكن</t>
  </si>
  <si>
    <t>بدل المواصلات</t>
  </si>
  <si>
    <t>العمل الإضافي</t>
  </si>
  <si>
    <t>الدخل الإضافي</t>
  </si>
  <si>
    <t>الإيجارات</t>
  </si>
  <si>
    <t>الاستثمارات</t>
  </si>
  <si>
    <t>أخرى</t>
  </si>
  <si>
    <t>إجمالي الدخل</t>
  </si>
  <si>
    <t>القسم الثاني: المصاريف الشهرية</t>
  </si>
  <si>
    <t>السكن والمرافق</t>
  </si>
  <si>
    <t xml:space="preserve">  ▸ الإيجار/القسط</t>
  </si>
  <si>
    <t xml:space="preserve">  ▸ الكهرباء</t>
  </si>
  <si>
    <t xml:space="preserve">  ▸ الماء</t>
  </si>
  <si>
    <t xml:space="preserve">  ▸ الإنترنت</t>
  </si>
  <si>
    <t xml:space="preserve">  ▸ الصيانة</t>
  </si>
  <si>
    <t>الغذاء</t>
  </si>
  <si>
    <t xml:space="preserve">  ▸ البقالة</t>
  </si>
  <si>
    <t xml:space="preserve">  ▸ المطاعم</t>
  </si>
  <si>
    <t xml:space="preserve">  ▸ الطلبات والتوصيل</t>
  </si>
  <si>
    <t>المواصلات</t>
  </si>
  <si>
    <t xml:space="preserve">  ▸ الوقود</t>
  </si>
  <si>
    <t xml:space="preserve">  ▸ صيانة السيارة</t>
  </si>
  <si>
    <t xml:space="preserve">  ▸ النقل العام</t>
  </si>
  <si>
    <t xml:space="preserve">  ▸ المواقف</t>
  </si>
  <si>
    <t>الصحة</t>
  </si>
  <si>
    <t xml:space="preserve">  ▸ التأمين الصحي</t>
  </si>
  <si>
    <t xml:space="preserve">  ▸ الأدوية</t>
  </si>
  <si>
    <t xml:space="preserve">  ▸ الطبيب والمستشفى</t>
  </si>
  <si>
    <t>التعليم</t>
  </si>
  <si>
    <t xml:space="preserve">  ▸ رسوم مدرسية</t>
  </si>
  <si>
    <t xml:space="preserve">  ▸ دورات تدريبية</t>
  </si>
  <si>
    <t xml:space="preserve">  ▸ كتب ومستلزمات</t>
  </si>
  <si>
    <t>الترفيه والاتصالات</t>
  </si>
  <si>
    <t xml:space="preserve">  ▸ الاشتراكات الرقمية</t>
  </si>
  <si>
    <t xml:space="preserve">  ▸ الهاتف</t>
  </si>
  <si>
    <t xml:space="preserve">  ▸ الأنشطة الترفيهية</t>
  </si>
  <si>
    <t>الملابس والمظهر</t>
  </si>
  <si>
    <t xml:space="preserve">  ▸ الملابس</t>
  </si>
  <si>
    <t xml:space="preserve">  ▸ مستلزمات العناية الشخصية</t>
  </si>
  <si>
    <t>الادخار والاستثمار</t>
  </si>
  <si>
    <t xml:space="preserve">  ▸ الادخار الإلزامي</t>
  </si>
  <si>
    <t xml:space="preserve">  ▸ الاستثمار الشهري</t>
  </si>
  <si>
    <t xml:space="preserve">  ▸ صندوق الطوارئ</t>
  </si>
  <si>
    <t xml:space="preserve">  ▸ هدايا ومناسبات</t>
  </si>
  <si>
    <t xml:space="preserve">  ▸ صدقة وزكاة</t>
  </si>
  <si>
    <t xml:space="preserve">  ▸ مصاريف غير متوقعة</t>
  </si>
  <si>
    <t>إجمالي المصاريف</t>
  </si>
  <si>
    <t>ملخص الميزانية</t>
  </si>
  <si>
    <t>إجمالي الدخل الفعلي</t>
  </si>
  <si>
    <t>إجمالي المصاريف الفعلية</t>
  </si>
  <si>
    <t>صافي الدخل (الفائض/العجز)</t>
  </si>
  <si>
    <t>معدل الادخار</t>
  </si>
  <si>
    <t>دليل الألوان</t>
  </si>
  <si>
    <t xml:space="preserve">   خلايا الإدخال – أدخل بياناتك هنا</t>
  </si>
  <si>
    <t xml:space="preserve">   خلايا الحسابات – لا تعدّل</t>
  </si>
  <si>
    <t xml:space="preserve">   النتائج الرئيسية</t>
  </si>
  <si>
    <t xml:space="preserve">   تحذير / نتيجة سلبية</t>
  </si>
  <si>
    <t>المتابعة السنوية – مقارنة الدخل والمصاريف شهرياً</t>
  </si>
  <si>
    <t>البيان</t>
  </si>
  <si>
    <t>فبراير</t>
  </si>
  <si>
    <t>مارس</t>
  </si>
  <si>
    <t>أبريل</t>
  </si>
  <si>
    <t>مايو</t>
  </si>
  <si>
    <t>يونيو</t>
  </si>
  <si>
    <t>يوليو</t>
  </si>
  <si>
    <t>أغسطس</t>
  </si>
  <si>
    <t>سبتمبر</t>
  </si>
  <si>
    <t>أكتوبر</t>
  </si>
  <si>
    <t>نوفمبر</t>
  </si>
  <si>
    <t>ديسمبر</t>
  </si>
  <si>
    <t>الإجمالي</t>
  </si>
  <si>
    <t>صافي الدخل</t>
  </si>
  <si>
    <t>معدل الادخار %</t>
  </si>
  <si>
    <t>متابعة أهداف الادخار والخطة المالية</t>
  </si>
  <si>
    <t>اسم الهدف</t>
  </si>
  <si>
    <t>المبلغ المطلوب (ريال)</t>
  </si>
  <si>
    <t>المدخر حتى الآن (ريال)</t>
  </si>
  <si>
    <t>المتبقي (ريال)</t>
  </si>
  <si>
    <t>المدة (شهر)</t>
  </si>
  <si>
    <t>قسط شهري مقترح (ريال)</t>
  </si>
  <si>
    <t>نسبة الإنجاز</t>
  </si>
  <si>
    <t>صندوق الطوارئ (6 أشهر)</t>
  </si>
  <si>
    <t>السفر والإجازة</t>
  </si>
  <si>
    <t>شراء سيارة</t>
  </si>
  <si>
    <t>دفعة أولى عقار</t>
  </si>
  <si>
    <t>تعليم الأبناء</t>
  </si>
  <si>
    <t>الزواج أو مناسبة كبرى</t>
  </si>
  <si>
    <t>التقاعد المبكر</t>
  </si>
  <si>
    <t>مشروع تجاري</t>
  </si>
  <si>
    <t>حاسبة صافي الثروة الشخصية</t>
  </si>
  <si>
    <t>الأصول = ما تملكه    |    الخصوم = ما عليك    |    صافي الثروة = الأصول – الخصوم</t>
  </si>
  <si>
    <t>أولاً: الأصول</t>
  </si>
  <si>
    <t>الأصول السائلة</t>
  </si>
  <si>
    <t xml:space="preserve">  · النقد في البنك</t>
  </si>
  <si>
    <t xml:space="preserve">  · صندوق الطوارئ</t>
  </si>
  <si>
    <t xml:space="preserve">  · المحفظة الاستثمارية</t>
  </si>
  <si>
    <t>العقارات</t>
  </si>
  <si>
    <t xml:space="preserve">  · قيمة المسكن</t>
  </si>
  <si>
    <t xml:space="preserve">  · عقارات استثمارية أخرى</t>
  </si>
  <si>
    <t>السيارات والمقتنيات</t>
  </si>
  <si>
    <t xml:space="preserve">  · السيارات</t>
  </si>
  <si>
    <t xml:space="preserve">  · الأجهزة والمعدات</t>
  </si>
  <si>
    <t xml:space="preserve">  · ذهب ومجوهرات</t>
  </si>
  <si>
    <t xml:space="preserve">  · أخرى</t>
  </si>
  <si>
    <t>إجمالي الأصول</t>
  </si>
  <si>
    <t>ثانياً: الخصوم (الالتزامات)</t>
  </si>
  <si>
    <t>قروض</t>
  </si>
  <si>
    <t xml:space="preserve">  · قرض السكن</t>
  </si>
  <si>
    <t xml:space="preserve">  · قرض السيارة</t>
  </si>
  <si>
    <t xml:space="preserve">  · القروض الشخصية</t>
  </si>
  <si>
    <t>بطاقات ائتمان</t>
  </si>
  <si>
    <t xml:space="preserve">  · رصيد البطاقات الائتمانية</t>
  </si>
  <si>
    <t xml:space="preserve">  · التزامات أخرى</t>
  </si>
  <si>
    <t>إجمالي الخصوم</t>
  </si>
  <si>
    <t>⭐ صافي الثروة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</si>
</sst>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(#,##0.00\)"/>
    <numFmt numFmtId="165" formatCode="0.0%"/>
  </numFmts>
  <fonts count="21" x14ac:knownFonts="1">
    <font>
      <sz val="11"/>
      <color theme="1"/>
      <name val="Calibri"/>
      <family val="2"/>
      <charset val="1"/>
    </font>
    <font>
      <b/>
      <sz val="24"/>
      <color rgb="FFFFFFFF"/>
      <name val="Arial"/>
      <charset val="1"/>
    </font>
    <font>
      <sz val="12"/>
      <color rgb="FFC9A84C"/>
      <name val="Arial"/>
      <charset val="1"/>
    </font>
    <font>
      <b/>
      <sz val="11"/>
      <color rgb="FFFFFFFF"/>
      <name val="Arial"/>
      <charset val="1"/>
    </font>
    <font>
      <sz val="9"/>
      <color rgb="FF1F3864"/>
      <name val="Arial"/>
      <charset val="1"/>
    </font>
    <font>
      <b/>
      <sz val="14"/>
      <color rgb="FFFFFFFF"/>
      <name val="Arial"/>
      <charset val="1"/>
    </font>
    <font>
      <i/>
      <sz val="9"/>
      <color rgb="FF2E5FA3"/>
      <name val="Arial"/>
      <charset val="1"/>
    </font>
    <font>
      <b/>
      <sz val="10"/>
      <color rgb="FF1F3864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375623"/>
      <name val="Arial"/>
      <charset val="1"/>
    </font>
    <font>
      <b/>
      <sz val="10"/>
      <color rgb="FF7B0000"/>
      <name val="Arial"/>
      <charset val="1"/>
    </font>
    <font>
      <b/>
      <sz val="12"/>
      <color rgb="FFFFFFFF"/>
      <name val="Arial"/>
      <charset val="1"/>
    </font>
    <font>
      <b/>
      <sz val="9"/>
      <color rgb="FF1F3864"/>
      <name val="Arial"/>
      <charset val="1"/>
    </font>
    <font>
      <sz val="8"/>
      <color rgb="FF0000FF"/>
      <name val="Arial"/>
      <charset val="1"/>
    </font>
    <font>
      <sz val="8"/>
      <color rgb="FF000000"/>
      <name val="Arial"/>
      <charset val="1"/>
    </font>
    <font>
      <sz val="8"/>
      <color rgb="FF375623"/>
      <name val="Arial"/>
      <charset val="1"/>
    </font>
    <font>
      <sz val="8"/>
      <color rgb="FF7B0000"/>
      <name val="Arial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75623"/>
      </patternFill>
    </fill>
    <fill>
      <patternFill patternType="solid">
        <fgColor rgb="FFC9A84C"/>
        <bgColor rgb="FFE78C41"/>
      </patternFill>
    </fill>
    <fill>
      <patternFill patternType="solid">
        <fgColor rgb="FF2E5FA3"/>
        <bgColor rgb="FF3E6595"/>
      </patternFill>
    </fill>
    <fill>
      <patternFill patternType="solid">
        <fgColor rgb="FFDEEAF1"/>
        <bgColor rgb="FFE2EFDA"/>
      </patternFill>
    </fill>
    <fill>
      <patternFill patternType="solid">
        <fgColor rgb="FFBDD7EE"/>
        <bgColor rgb="FFB5D4E0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2F2F2"/>
      </patternFill>
    </fill>
  </fills>
  <borders count="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/>
    <xf numFmtId="0" fontId="4" fillId="5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5" fillId="2" borderId="0" xfId="0" applyFont="1" applyFill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7" fillId="6" borderId="1" xfId="0" applyFont="1" applyFill="1" applyBorder="1" applyAlignment="1" applyProtection="1">
      <alignment horizontal="left" vertical="center" wrapText="1"/>
      <protection locked="0"/>
    </xf>
    <xf numFmtId="49" fontId="8" fillId="5" borderId="2" xfId="0" applyNumberFormat="1" applyFont="1" applyFill="1" applyBorder="1" applyAlignment="1" applyProtection="1">
      <alignment horizontal="right" vertical="center"/>
      <protection locked="0"/>
    </xf>
    <xf numFmtId="0" fontId="7" fillId="6" borderId="2" xfId="0" applyFont="1" applyFill="1" applyBorder="1" applyAlignment="1" applyProtection="1">
      <alignment horizontal="left" vertical="center" wrapText="1"/>
      <protection locked="0"/>
    </xf>
    <xf numFmtId="1" fontId="8" fillId="5" borderId="2" xfId="0" applyNumberFormat="1" applyFont="1" applyFill="1" applyBorder="1" applyAlignment="1" applyProtection="1">
      <alignment horizontal="right" vertical="center"/>
      <protection locked="0"/>
    </xf>
    <xf numFmtId="0" fontId="3" fillId="4" borderId="0" xfId="0" applyFont="1" applyFill="1" applyAlignment="1" applyProtection="1">
      <alignment horizontal="center" vertical="center" wrapText="1"/>
      <protection locked="0"/>
    </xf>
    <xf numFmtId="0" fontId="9" fillId="2" borderId="2" xfId="0" applyFont="1" applyFill="1" applyBorder="1" applyAlignment="1" applyProtection="1">
      <alignment horizontal="center" vertical="center" wrapText="1"/>
      <protection locked="0"/>
    </xf>
    <xf numFmtId="0" fontId="10" fillId="7" borderId="2" xfId="0" applyFont="1" applyFill="1" applyBorder="1" applyAlignment="1" applyProtection="1">
      <alignment horizontal="left" vertical="center" wrapText="1"/>
      <protection locked="0"/>
    </xf>
    <xf numFmtId="164" fontId="8" fillId="5" borderId="2" xfId="0" applyNumberFormat="1" applyFont="1" applyFill="1" applyBorder="1" applyAlignment="1" applyProtection="1">
      <alignment horizontal="right" vertical="center"/>
      <protection locked="0"/>
    </xf>
    <xf numFmtId="0" fontId="9" fillId="4" borderId="2" xfId="0" applyFont="1" applyFill="1" applyBorder="1" applyAlignment="1" applyProtection="1">
      <alignment horizontal="left" vertical="center" wrapText="1"/>
      <protection locked="0"/>
    </xf>
    <xf numFmtId="0" fontId="7" fillId="6" borderId="2" xfId="0" applyFont="1" applyFill="1" applyBorder="1" applyAlignment="1" applyProtection="1">
      <alignment horizontal="left" vertical="center" wrapText="1"/>
      <protection locked="0"/>
    </xf>
    <xf numFmtId="0" fontId="13" fillId="2" borderId="0" xfId="0" applyFont="1" applyFill="1" applyAlignment="1" applyProtection="1">
      <alignment horizontal="center" vertical="center" wrapText="1"/>
      <protection locked="0"/>
    </xf>
    <xf numFmtId="0" fontId="7" fillId="5" borderId="2" xfId="0" applyFont="1" applyFill="1" applyBorder="1" applyAlignment="1" applyProtection="1">
      <alignment horizontal="left" vertical="center" wrapText="1"/>
      <protection locked="0"/>
    </xf>
    <xf numFmtId="0" fontId="14" fillId="0" borderId="0" xfId="0" applyFont="1" applyProtection="1">
      <protection locked="0"/>
    </xf>
    <xf numFmtId="0" fontId="15" fillId="5" borderId="2" xfId="0" applyFont="1" applyFill="1" applyBorder="1" applyProtection="1">
      <protection locked="0"/>
    </xf>
    <xf numFmtId="0" fontId="16" fillId="8" borderId="2" xfId="0" applyFont="1" applyFill="1" applyBorder="1" applyProtection="1">
      <protection locked="0"/>
    </xf>
    <xf numFmtId="0" fontId="17" fillId="9" borderId="2" xfId="0" applyFont="1" applyFill="1" applyBorder="1" applyProtection="1">
      <protection locked="0"/>
    </xf>
    <xf numFmtId="0" fontId="18" fillId="10" borderId="2" xfId="0" applyFont="1" applyFill="1" applyBorder="1" applyProtection="1">
      <protection locked="0"/>
    </xf>
    <xf numFmtId="164" fontId="10" fillId="8" borderId="2" xfId="0" applyNumberFormat="1" applyFont="1" applyFill="1" applyBorder="1" applyAlignment="1" applyProtection="1">
      <alignment horizontal="right" vertical="center"/>
      <protection locked="0" hidden="1"/>
    </xf>
    <xf numFmtId="4" fontId="11" fillId="9" borderId="3" xfId="0" applyNumberFormat="1" applyFont="1" applyFill="1" applyBorder="1" applyAlignment="1" applyProtection="1">
      <alignment horizontal="right" vertical="center"/>
      <protection locked="0" hidden="1"/>
    </xf>
    <xf numFmtId="4" fontId="12" fillId="10" borderId="3" xfId="0" applyNumberFormat="1" applyFont="1" applyFill="1" applyBorder="1" applyAlignment="1" applyProtection="1">
      <alignment horizontal="right" vertical="center"/>
      <protection locked="0" hidden="1"/>
    </xf>
    <xf numFmtId="164" fontId="11" fillId="9" borderId="3" xfId="0" applyNumberFormat="1" applyFont="1" applyFill="1" applyBorder="1" applyAlignment="1" applyProtection="1">
      <alignment horizontal="right" vertical="center"/>
      <protection locked="0" hidden="1"/>
    </xf>
    <xf numFmtId="165" fontId="11" fillId="9" borderId="3" xfId="0" applyNumberFormat="1" applyFont="1" applyFill="1" applyBorder="1" applyAlignment="1" applyProtection="1">
      <alignment horizontal="right" vertical="center"/>
      <protection locked="0" hidden="1"/>
    </xf>
    <xf numFmtId="0" fontId="19" fillId="2" borderId="0" xfId="0" applyFont="1" applyFill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3" fillId="3" borderId="2" xfId="0" applyFont="1" applyFill="1" applyBorder="1" applyAlignment="1" applyProtection="1">
      <alignment horizontal="center" vertical="center" wrapText="1"/>
      <protection locked="0"/>
    </xf>
    <xf numFmtId="0" fontId="9" fillId="2" borderId="2" xfId="0" applyFont="1" applyFill="1" applyBorder="1" applyAlignment="1" applyProtection="1">
      <alignment horizontal="left" vertical="center" wrapText="1"/>
      <protection locked="0"/>
    </xf>
    <xf numFmtId="165" fontId="8" fillId="5" borderId="2" xfId="0" applyNumberFormat="1" applyFont="1" applyFill="1" applyBorder="1" applyAlignment="1" applyProtection="1">
      <alignment horizontal="right" vertical="center"/>
      <protection locked="0"/>
    </xf>
    <xf numFmtId="164" fontId="9" fillId="3" borderId="3" xfId="0" applyNumberFormat="1" applyFont="1" applyFill="1" applyBorder="1" applyAlignment="1" applyProtection="1">
      <alignment horizontal="right" vertical="center"/>
      <protection locked="0" hidden="1"/>
    </xf>
    <xf numFmtId="165" fontId="9" fillId="3" borderId="3" xfId="0" applyNumberFormat="1" applyFont="1" applyFill="1" applyBorder="1" applyAlignment="1" applyProtection="1">
      <alignment horizontal="right" vertical="center"/>
      <protection locked="0" hidden="1"/>
    </xf>
    <xf numFmtId="0" fontId="20" fillId="2" borderId="2" xfId="0" applyFont="1" applyFill="1" applyBorder="1" applyAlignment="1" applyProtection="1">
      <alignment horizontal="center" vertical="center" wrapText="1"/>
      <protection locked="0"/>
    </xf>
    <xf numFmtId="4" fontId="8" fillId="5" borderId="2" xfId="0" applyNumberFormat="1" applyFont="1" applyFill="1" applyBorder="1" applyAlignment="1" applyProtection="1">
      <alignment horizontal="right" vertical="center"/>
      <protection locked="0"/>
    </xf>
    <xf numFmtId="4" fontId="10" fillId="8" borderId="2" xfId="0" applyNumberFormat="1" applyFont="1" applyFill="1" applyBorder="1" applyAlignment="1" applyProtection="1">
      <alignment horizontal="right" vertical="center"/>
      <protection locked="0" hidden="1"/>
    </xf>
    <xf numFmtId="9" fontId="10" fillId="8" borderId="2" xfId="0" applyNumberFormat="1" applyFont="1" applyFill="1" applyBorder="1" applyAlignment="1" applyProtection="1">
      <alignment horizontal="right" vertical="center"/>
      <protection locked="0" hidden="1"/>
    </xf>
    <xf numFmtId="0" fontId="7" fillId="10" borderId="2" xfId="0" applyFont="1" applyFill="1" applyBorder="1" applyAlignment="1" applyProtection="1">
      <alignment horizontal="left" vertical="center" wrapText="1"/>
      <protection locked="0"/>
    </xf>
    <xf numFmtId="0" fontId="19" fillId="2" borderId="4" xfId="0" applyFont="1" applyFill="1" applyBorder="1" applyAlignment="1" applyProtection="1">
      <alignment horizontal="center" vertical="center" wrapText="1"/>
      <protection locked="0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CCDAB7"/>
      <rgbColor rgb="FFFF00FF"/>
      <rgbColor rgb="FFB5C3DB"/>
      <rgbColor rgb="FF7B0000"/>
      <rgbColor rgb="FF008000"/>
      <rgbColor rgb="FF000080"/>
      <rgbColor rgb="FF7A9346"/>
      <rgbColor rgb="FF800080"/>
      <rgbColor rgb="FF3E6595"/>
      <rgbColor rgb="FFBFBFBF"/>
      <rgbColor rgb="FF878787"/>
      <rgbColor rgb="FF7E9BC7"/>
      <rgbColor rgb="FF973F3C"/>
      <rgbColor rgb="FFF9F9F9"/>
      <rgbColor rgb="FFDEEAF1"/>
      <rgbColor rgb="FF660066"/>
      <rgbColor rgb="FFE78C41"/>
      <rgbColor rgb="FF2E5FA3"/>
      <rgbColor rgb="FFBDD7EE"/>
      <rgbColor rgb="FF000080"/>
      <rgbColor rgb="FFFF00FF"/>
      <rgbColor rgb="FFADC683"/>
      <rgbColor rgb="FFD9D9D9"/>
      <rgbColor rgb="FF800080"/>
      <rgbColor rgb="FF800000"/>
      <rgbColor rgb="FF008080"/>
      <rgbColor rgb="FF0000FF"/>
      <rgbColor rgb="FF7CBACF"/>
      <rgbColor rgb="FFF2F2F2"/>
      <rgbColor rgb="FFE2EFDA"/>
      <rgbColor rgb="FFFCE4D6"/>
      <rgbColor rgb="FFB5D4E0"/>
      <rgbColor rgb="FFDDB5B5"/>
      <rgbColor rgb="FFC2BACF"/>
      <rgbColor rgb="FFFACAB4"/>
      <rgbColor rgb="FF4978B1"/>
      <rgbColor rgb="FF46A1B9"/>
      <rgbColor rgb="FF91AF53"/>
      <rgbColor rgb="FFF8AA7A"/>
      <rgbColor rgb="FFC9A84C"/>
      <rgbColor rgb="FFC27637"/>
      <rgbColor rgb="FF775D97"/>
      <rgbColor rgb="FF9A89B2"/>
      <rgbColor rgb="FF1F3864"/>
      <rgbColor rgb="FF3B879C"/>
      <rgbColor rgb="FF003300"/>
      <rgbColor rgb="FF333300"/>
      <rgbColor rgb="FFCA7E7D"/>
      <rgbColor rgb="FFB34A48"/>
      <rgbColor rgb="FF654E7F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SA" sz="1800" b="1" strike="noStrike" spc="-1">
                <a:solidFill>
                  <a:srgbClr val="000000"/>
                </a:solidFill>
                <a:latin typeface="Calibri"/>
              </a:rPr>
              <a:t>مقارنة الدخل والمصاريف الشهرية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الدخل</c:v>
          </c:tx>
          <c:spPr>
            <a:solidFill>
              <a:srgbClr val="3E659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'المتابعة السنوية'!$B$2:$M$2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'المتابعة السنوية'!$B$3</c:f>
              <c:numCache>
                <c:formatCode>#,##0.00_ ;[Red]\(#,##0.00\)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6-4276-9F86-309106306DA0}"/>
            </c:ext>
          </c:extLst>
        </c:ser>
        <c:ser>
          <c:idx val="1"/>
          <c:order val="1"/>
          <c:tx>
            <c:v>المصاريف</c:v>
          </c:tx>
          <c:spPr>
            <a:solidFill>
              <a:srgbClr val="973F3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'المتابعة السنوية'!$B$2:$M$2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'المتابعة السنوية'!$C$3</c:f>
              <c:numCache>
                <c:formatCode>#,##0.00_ ;[Red]\(#,##0.00\)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36-4276-9F86-309106306DA0}"/>
            </c:ext>
          </c:extLst>
        </c:ser>
        <c:ser>
          <c:idx val="2"/>
          <c:order val="2"/>
          <c:spPr>
            <a:solidFill>
              <a:srgbClr val="7A934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'المتابعة السنوية'!$B$2:$M$2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'المتابعة السنوية'!$D$3</c:f>
              <c:numCache>
                <c:formatCode>#,##0.00_ ;[Red]\(#,##0.00\)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36-4276-9F86-309106306DA0}"/>
            </c:ext>
          </c:extLst>
        </c:ser>
        <c:ser>
          <c:idx val="3"/>
          <c:order val="3"/>
          <c:spPr>
            <a:solidFill>
              <a:srgbClr val="654E7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'المتابعة السنوية'!$B$2:$M$2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'المتابعة السنوية'!$E$3</c:f>
              <c:numCache>
                <c:formatCode>#,##0.00_ ;[Red]\(#,##0.00\)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36-4276-9F86-309106306DA0}"/>
            </c:ext>
          </c:extLst>
        </c:ser>
        <c:ser>
          <c:idx val="4"/>
          <c:order val="4"/>
          <c:spPr>
            <a:solidFill>
              <a:srgbClr val="3B879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'المتابعة السنوية'!$B$2:$M$2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'المتابعة السنوية'!$F$3</c:f>
              <c:numCache>
                <c:formatCode>#,##0.00_ ;[Red]\(#,##0.00\)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36-4276-9F86-309106306DA0}"/>
            </c:ext>
          </c:extLst>
        </c:ser>
        <c:ser>
          <c:idx val="5"/>
          <c:order val="5"/>
          <c:spPr>
            <a:solidFill>
              <a:srgbClr val="C2763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'المتابعة السنوية'!$B$2:$M$2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'المتابعة السنوية'!$G$3</c:f>
              <c:numCache>
                <c:formatCode>#,##0.00_ ;[Red]\(#,##0.00\)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36-4276-9F86-309106306DA0}"/>
            </c:ext>
          </c:extLst>
        </c:ser>
        <c:ser>
          <c:idx val="6"/>
          <c:order val="6"/>
          <c:spPr>
            <a:solidFill>
              <a:srgbClr val="4978B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'المتابعة السنوية'!$B$2:$M$2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'المتابعة السنوية'!$H$3</c:f>
              <c:numCache>
                <c:formatCode>#,##0.00_ ;[Red]\(#,##0.00\)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36-4276-9F86-309106306DA0}"/>
            </c:ext>
          </c:extLst>
        </c:ser>
        <c:ser>
          <c:idx val="7"/>
          <c:order val="7"/>
          <c:spPr>
            <a:solidFill>
              <a:srgbClr val="B34A4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'المتابعة السنوية'!$B$2:$M$2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'المتابعة السنوية'!$I$3</c:f>
              <c:numCache>
                <c:formatCode>#,##0.00_ ;[Red]\(#,##0.00\)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F36-4276-9F86-309106306DA0}"/>
            </c:ext>
          </c:extLst>
        </c:ser>
        <c:ser>
          <c:idx val="8"/>
          <c:order val="8"/>
          <c:spPr>
            <a:solidFill>
              <a:srgbClr val="91AF5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'المتابعة السنوية'!$B$2:$M$2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'المتابعة السنوية'!$J$3</c:f>
              <c:numCache>
                <c:formatCode>#,##0.00_ ;[Red]\(#,##0.00\)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F36-4276-9F86-309106306DA0}"/>
            </c:ext>
          </c:extLst>
        </c:ser>
        <c:ser>
          <c:idx val="9"/>
          <c:order val="9"/>
          <c:spPr>
            <a:solidFill>
              <a:srgbClr val="775D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'المتابعة السنوية'!$B$2:$M$2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'المتابعة السنوية'!$K$3</c:f>
              <c:numCache>
                <c:formatCode>#,##0.00_ ;[Red]\(#,##0.00\)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F36-4276-9F86-309106306DA0}"/>
            </c:ext>
          </c:extLst>
        </c:ser>
        <c:ser>
          <c:idx val="10"/>
          <c:order val="10"/>
          <c:spPr>
            <a:solidFill>
              <a:srgbClr val="46A1B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'المتابعة السنوية'!$B$2:$M$2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'المتابعة السنوية'!$L$3</c:f>
              <c:numCache>
                <c:formatCode>#,##0.00_ ;[Red]\(#,##0.00\)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F36-4276-9F86-309106306DA0}"/>
            </c:ext>
          </c:extLst>
        </c:ser>
        <c:ser>
          <c:idx val="11"/>
          <c:order val="11"/>
          <c:spPr>
            <a:solidFill>
              <a:srgbClr val="E78C4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'المتابعة السنوية'!$B$2:$M$2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'المتابعة السنوية'!$M$3</c:f>
              <c:numCache>
                <c:formatCode>#,##0.00_ ;[Red]\(#,##0.00\)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F36-4276-9F86-309106306DA0}"/>
            </c:ext>
          </c:extLst>
        </c:ser>
        <c:ser>
          <c:idx val="12"/>
          <c:order val="12"/>
          <c:spPr>
            <a:solidFill>
              <a:srgbClr val="7E9BC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'المتابعة السنوية'!$B$2:$M$2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'المتابعة السنوية'!$B$4</c:f>
              <c:numCache>
                <c:formatCode>#,##0.00_ ;[Red]\(#,##0.00\)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F36-4276-9F86-309106306DA0}"/>
            </c:ext>
          </c:extLst>
        </c:ser>
        <c:ser>
          <c:idx val="13"/>
          <c:order val="13"/>
          <c:spPr>
            <a:solidFill>
              <a:srgbClr val="CA7E7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'المتابعة السنوية'!$B$2:$M$2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'المتابعة السنوية'!$C$4</c:f>
              <c:numCache>
                <c:formatCode>#,##0.00_ ;[Red]\(#,##0.00\)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F36-4276-9F86-309106306DA0}"/>
            </c:ext>
          </c:extLst>
        </c:ser>
        <c:ser>
          <c:idx val="14"/>
          <c:order val="14"/>
          <c:spPr>
            <a:solidFill>
              <a:srgbClr val="ADC68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'المتابعة السنوية'!$B$2:$M$2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'المتابعة السنوية'!$D$4</c:f>
              <c:numCache>
                <c:formatCode>#,##0.00_ ;[Red]\(#,##0.00\)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F36-4276-9F86-309106306DA0}"/>
            </c:ext>
          </c:extLst>
        </c:ser>
        <c:ser>
          <c:idx val="15"/>
          <c:order val="15"/>
          <c:spPr>
            <a:solidFill>
              <a:srgbClr val="9A89B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'المتابعة السنوية'!$B$2:$M$2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'المتابعة السنوية'!$E$4</c:f>
              <c:numCache>
                <c:formatCode>#,##0.00_ ;[Red]\(#,##0.00\)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F36-4276-9F86-309106306DA0}"/>
            </c:ext>
          </c:extLst>
        </c:ser>
        <c:ser>
          <c:idx val="16"/>
          <c:order val="16"/>
          <c:spPr>
            <a:solidFill>
              <a:srgbClr val="7CBAC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'المتابعة السنوية'!$B$2:$M$2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'المتابعة السنوية'!$F$4</c:f>
              <c:numCache>
                <c:formatCode>#,##0.00_ ;[Red]\(#,##0.00\)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F36-4276-9F86-309106306DA0}"/>
            </c:ext>
          </c:extLst>
        </c:ser>
        <c:ser>
          <c:idx val="17"/>
          <c:order val="17"/>
          <c:spPr>
            <a:solidFill>
              <a:srgbClr val="F8AA7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'المتابعة السنوية'!$B$2:$M$2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'المتابعة السنوية'!$G$4</c:f>
              <c:numCache>
                <c:formatCode>#,##0.00_ ;[Red]\(#,##0.00\)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F36-4276-9F86-309106306DA0}"/>
            </c:ext>
          </c:extLst>
        </c:ser>
        <c:ser>
          <c:idx val="18"/>
          <c:order val="18"/>
          <c:spPr>
            <a:solidFill>
              <a:srgbClr val="B5C3D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'المتابعة السنوية'!$B$2:$M$2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'المتابعة السنوية'!$H$4</c:f>
              <c:numCache>
                <c:formatCode>#,##0.00_ ;[Red]\(#,##0.00\)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F36-4276-9F86-309106306DA0}"/>
            </c:ext>
          </c:extLst>
        </c:ser>
        <c:ser>
          <c:idx val="19"/>
          <c:order val="19"/>
          <c:spPr>
            <a:solidFill>
              <a:srgbClr val="DDB5B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'المتابعة السنوية'!$B$2:$M$2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'المتابعة السنوية'!$I$4</c:f>
              <c:numCache>
                <c:formatCode>#,##0.00_ ;[Red]\(#,##0.00\)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F36-4276-9F86-309106306DA0}"/>
            </c:ext>
          </c:extLst>
        </c:ser>
        <c:ser>
          <c:idx val="20"/>
          <c:order val="20"/>
          <c:spPr>
            <a:solidFill>
              <a:srgbClr val="CCDAB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'المتابعة السنوية'!$B$2:$M$2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'المتابعة السنوية'!$J$4</c:f>
              <c:numCache>
                <c:formatCode>#,##0.00_ ;[Red]\(#,##0.00\)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F36-4276-9F86-309106306DA0}"/>
            </c:ext>
          </c:extLst>
        </c:ser>
        <c:ser>
          <c:idx val="21"/>
          <c:order val="21"/>
          <c:spPr>
            <a:solidFill>
              <a:srgbClr val="C2BAC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'المتابعة السنوية'!$B$2:$M$2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'المتابعة السنوية'!$K$4</c:f>
              <c:numCache>
                <c:formatCode>#,##0.00_ ;[Red]\(#,##0.00\)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F36-4276-9F86-309106306DA0}"/>
            </c:ext>
          </c:extLst>
        </c:ser>
        <c:ser>
          <c:idx val="22"/>
          <c:order val="22"/>
          <c:spPr>
            <a:solidFill>
              <a:srgbClr val="B5D4E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'المتابعة السنوية'!$B$2:$M$2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'المتابعة السنوية'!$L$4</c:f>
              <c:numCache>
                <c:formatCode>#,##0.00_ ;[Red]\(#,##0.00\)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F36-4276-9F86-309106306DA0}"/>
            </c:ext>
          </c:extLst>
        </c:ser>
        <c:ser>
          <c:idx val="23"/>
          <c:order val="23"/>
          <c:spPr>
            <a:solidFill>
              <a:srgbClr val="FACAB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'المتابعة السنوية'!$B$2:$M$2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'المتابعة السنوية'!$M$4</c:f>
              <c:numCache>
                <c:formatCode>#,##0.00_ ;[Red]\(#,##0.00\)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F36-4276-9F86-309106306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73087"/>
        <c:axId val="86948605"/>
      </c:barChart>
      <c:catAx>
        <c:axId val="64730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SA" sz="1000" b="1" strike="noStrike" spc="-1">
                    <a:solidFill>
                      <a:srgbClr val="000000"/>
                    </a:solidFill>
                    <a:latin typeface="Calibri"/>
                  </a:rPr>
                  <a:t>الشهر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86948605"/>
        <c:crosses val="autoZero"/>
        <c:auto val="1"/>
        <c:lblAlgn val="ctr"/>
        <c:lblOffset val="100"/>
        <c:noMultiLvlLbl val="0"/>
      </c:catAx>
      <c:valAx>
        <c:axId val="869486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SA" sz="1000" b="1" strike="noStrike" spc="-1">
                    <a:solidFill>
                      <a:srgbClr val="000000"/>
                    </a:solidFill>
                    <a:latin typeface="Calibri"/>
                  </a:rPr>
                  <a:t>ريال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_ ;[Red]\(#,##0.0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64730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ar-SA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-448200</xdr:colOff>
      <xdr:row>6</xdr:row>
      <xdr:rowOff>0</xdr:rowOff>
    </xdr:from>
    <xdr:to>
      <xdr:col>8</xdr:col>
      <xdr:colOff>0</xdr:colOff>
      <xdr:row>28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rightToLeft="1" tabSelected="1" zoomScaleNormal="100" workbookViewId="0">
      <selection sqref="A1:J5"/>
    </sheetView>
  </sheetViews>
  <sheetFormatPr defaultColWidth="8.6328125" defaultRowHeight="14.5" x14ac:dyDescent="0.35"/>
  <cols>
    <col min="1" max="10" width="8.453125" customWidth="1"/>
  </cols>
  <sheetData>
    <row r="1" spans="1:10" ht="18" customHeight="1" x14ac:dyDescent="0.3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18" customHeight="1" x14ac:dyDescent="0.35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ht="18" customHeight="1" x14ac:dyDescent="0.35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ht="18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 ht="18" customHeight="1" x14ac:dyDescent="0.35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18" customHeight="1" x14ac:dyDescent="0.35">
      <c r="A6" s="4" t="s">
        <v>1</v>
      </c>
      <c r="B6" s="4"/>
      <c r="C6" s="4"/>
      <c r="D6" s="4"/>
      <c r="E6" s="4"/>
      <c r="F6" s="4"/>
      <c r="G6" s="4"/>
      <c r="H6" s="4"/>
      <c r="I6" s="4"/>
      <c r="J6" s="4"/>
    </row>
    <row r="7" spans="1:10" ht="18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ht="3" customHeight="1" x14ac:dyDescent="0.35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 ht="18" customHeight="1" x14ac:dyDescent="0.35"/>
    <row r="10" spans="1:10" ht="19.5" customHeight="1" x14ac:dyDescent="0.35">
      <c r="B10" s="3" t="s">
        <v>2</v>
      </c>
      <c r="C10" s="3"/>
      <c r="D10" s="3"/>
      <c r="E10" s="3" t="s">
        <v>3</v>
      </c>
      <c r="F10" s="3"/>
      <c r="G10" s="3"/>
      <c r="H10" s="3" t="s">
        <v>4</v>
      </c>
      <c r="I10" s="3"/>
      <c r="J10" s="3"/>
    </row>
    <row r="11" spans="1:10" ht="15.75" customHeight="1" x14ac:dyDescent="0.35">
      <c r="B11" s="2" t="s">
        <v>5</v>
      </c>
      <c r="C11" s="2"/>
      <c r="D11" s="2"/>
      <c r="E11" s="2" t="s">
        <v>6</v>
      </c>
      <c r="F11" s="2"/>
      <c r="G11" s="2"/>
      <c r="H11" s="2" t="s">
        <v>7</v>
      </c>
      <c r="I11" s="2"/>
      <c r="J11" s="2"/>
    </row>
    <row r="12" spans="1:10" ht="18" customHeight="1" x14ac:dyDescent="0.35">
      <c r="B12" s="1"/>
      <c r="C12" s="1"/>
      <c r="D12" s="1"/>
      <c r="E12" s="1"/>
      <c r="F12" s="1"/>
      <c r="G12" s="1"/>
      <c r="H12" s="1"/>
      <c r="I12" s="1"/>
      <c r="J12" s="1"/>
    </row>
    <row r="13" spans="1:10" ht="18" customHeight="1" x14ac:dyDescent="0.35"/>
    <row r="14" spans="1:10" ht="18" customHeight="1" x14ac:dyDescent="0.35"/>
    <row r="15" spans="1:10" ht="19.5" customHeight="1" x14ac:dyDescent="0.35">
      <c r="B15" s="3" t="s">
        <v>8</v>
      </c>
      <c r="C15" s="3"/>
      <c r="D15" s="3"/>
      <c r="E15" s="3" t="s">
        <v>9</v>
      </c>
      <c r="F15" s="3"/>
      <c r="G15" s="3"/>
      <c r="H15" s="3" t="s">
        <v>10</v>
      </c>
      <c r="I15" s="3"/>
      <c r="J15" s="3"/>
    </row>
    <row r="16" spans="1:10" ht="15.75" customHeight="1" x14ac:dyDescent="0.35">
      <c r="B16" s="2" t="s">
        <v>11</v>
      </c>
      <c r="C16" s="2"/>
      <c r="D16" s="2"/>
      <c r="E16" s="2" t="s">
        <v>12</v>
      </c>
      <c r="F16" s="2"/>
      <c r="G16" s="2"/>
      <c r="H16" s="2" t="s">
        <v>13</v>
      </c>
      <c r="I16" s="2"/>
      <c r="J16" s="2"/>
    </row>
    <row r="17" spans="2:10" ht="18" customHeight="1" x14ac:dyDescent="0.35">
      <c r="B17" s="1"/>
      <c r="C17" s="1"/>
      <c r="D17" s="1"/>
      <c r="E17" s="1"/>
      <c r="F17" s="1"/>
      <c r="G17" s="1"/>
      <c r="H17" s="1"/>
      <c r="I17" s="1"/>
      <c r="J17" s="1"/>
    </row>
    <row r="18" spans="2:10" ht="18" customHeight="1" x14ac:dyDescent="0.35"/>
    <row r="19" spans="2:10" ht="18" customHeight="1" x14ac:dyDescent="0.35"/>
    <row r="20" spans="2:10" ht="18" customHeight="1" x14ac:dyDescent="0.35"/>
    <row r="21" spans="2:10" ht="18" customHeight="1" x14ac:dyDescent="0.35"/>
    <row r="22" spans="2:10" ht="18" customHeight="1" x14ac:dyDescent="0.35"/>
    <row r="23" spans="2:10" ht="18" customHeight="1" x14ac:dyDescent="0.35"/>
    <row r="24" spans="2:10" ht="18" customHeight="1" x14ac:dyDescent="0.35"/>
    <row r="25" spans="2:10" ht="18" customHeight="1" x14ac:dyDescent="0.35"/>
    <row r="26" spans="2:10" ht="18" customHeight="1" x14ac:dyDescent="0.35"/>
    <row r="27" spans="2:10" ht="18" customHeight="1" x14ac:dyDescent="0.35"/>
    <row r="28" spans="2:10" ht="18" customHeight="1" x14ac:dyDescent="0.35"/>
    <row r="29" spans="2:10" ht="18" customHeight="1" x14ac:dyDescent="0.35"/>
    <row r="30" spans="2:10" ht="18" customHeight="1" x14ac:dyDescent="0.35"/>
    <row r="31" spans="2:10" ht="18" customHeight="1" x14ac:dyDescent="0.35"/>
    <row r="32" spans="2:10" ht="18" customHeight="1" x14ac:dyDescent="0.35"/>
    <row r="33" ht="18" customHeight="1" x14ac:dyDescent="0.35"/>
    <row r="34" ht="18" customHeight="1" x14ac:dyDescent="0.35"/>
    <row r="35" ht="18" customHeight="1" x14ac:dyDescent="0.35"/>
    <row r="36" ht="18" customHeight="1" x14ac:dyDescent="0.35"/>
    <row r="37" ht="18" customHeight="1" x14ac:dyDescent="0.35"/>
    <row r="38" ht="18" customHeight="1" x14ac:dyDescent="0.35"/>
    <row r="39" ht="18" customHeight="1" x14ac:dyDescent="0.35"/>
    <row r="40" ht="18" customHeight="1" x14ac:dyDescent="0.35"/>
    <row r="41" ht="18" customHeight="1" x14ac:dyDescent="0.35"/>
    <row r="42" ht="18" customHeight="1" x14ac:dyDescent="0.35"/>
    <row r="43" ht="18" customHeight="1" x14ac:dyDescent="0.35"/>
    <row r="44" ht="18" customHeight="1" x14ac:dyDescent="0.35"/>
  </sheetData>
  <mergeCells count="20">
    <mergeCell ref="B17:D17"/>
    <mergeCell ref="E17:G17"/>
    <mergeCell ref="H17:J17"/>
    <mergeCell ref="B15:D15"/>
    <mergeCell ref="E15:G15"/>
    <mergeCell ref="H15:J15"/>
    <mergeCell ref="B16:D16"/>
    <mergeCell ref="E16:G16"/>
    <mergeCell ref="H16:J16"/>
    <mergeCell ref="B11:D11"/>
    <mergeCell ref="E11:G11"/>
    <mergeCell ref="H11:J11"/>
    <mergeCell ref="B12:D12"/>
    <mergeCell ref="E12:G12"/>
    <mergeCell ref="H12:J12"/>
    <mergeCell ref="A1:J5"/>
    <mergeCell ref="A6:J7"/>
    <mergeCell ref="B10:D10"/>
    <mergeCell ref="E10:G10"/>
    <mergeCell ref="H10:J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9"/>
  <sheetViews>
    <sheetView rightToLeft="1" topLeftCell="A43" zoomScale="78" zoomScaleNormal="100" workbookViewId="0">
      <selection activeCell="C60" sqref="C60:C63"/>
    </sheetView>
  </sheetViews>
  <sheetFormatPr defaultColWidth="8.6328125" defaultRowHeight="14.5" x14ac:dyDescent="0.35"/>
  <cols>
    <col min="1" max="1" width="28" style="8" customWidth="1"/>
    <col min="2" max="2" width="3" style="8" customWidth="1"/>
    <col min="3" max="3" width="18" style="8" customWidth="1"/>
    <col min="4" max="4" width="3" style="8" customWidth="1"/>
    <col min="5" max="5" width="18" style="8" customWidth="1"/>
    <col min="6" max="6" width="16" style="8" customWidth="1"/>
    <col min="7" max="7" width="20" style="8" customWidth="1"/>
    <col min="8" max="8" width="8" style="8" customWidth="1"/>
    <col min="9" max="16384" width="8.6328125" style="8"/>
  </cols>
  <sheetData>
    <row r="1" spans="1:8" ht="27.75" customHeight="1" x14ac:dyDescent="0.35">
      <c r="A1" s="7" t="s">
        <v>14</v>
      </c>
      <c r="B1" s="7"/>
      <c r="C1" s="7"/>
      <c r="D1" s="7"/>
      <c r="E1" s="7"/>
      <c r="F1" s="7"/>
      <c r="G1" s="7"/>
      <c r="H1" s="7"/>
    </row>
    <row r="2" spans="1:8" ht="15" customHeight="1" x14ac:dyDescent="0.35">
      <c r="A2" s="9" t="s">
        <v>15</v>
      </c>
      <c r="B2" s="9"/>
      <c r="C2" s="9"/>
      <c r="D2" s="9"/>
      <c r="E2" s="9"/>
      <c r="F2" s="9"/>
      <c r="G2" s="9"/>
      <c r="H2" s="9"/>
    </row>
    <row r="3" spans="1:8" ht="23.9" customHeight="1" x14ac:dyDescent="0.35">
      <c r="A3" s="10" t="s">
        <v>16</v>
      </c>
      <c r="B3" s="10"/>
      <c r="C3" s="11" t="s">
        <v>17</v>
      </c>
      <c r="D3" s="12" t="s">
        <v>18</v>
      </c>
      <c r="E3" s="13">
        <v>2025</v>
      </c>
    </row>
    <row r="5" spans="1:8" ht="21.75" customHeight="1" x14ac:dyDescent="0.35">
      <c r="A5" s="14" t="s">
        <v>19</v>
      </c>
      <c r="B5" s="14"/>
      <c r="C5" s="14"/>
      <c r="D5" s="14"/>
      <c r="E5" s="14"/>
      <c r="F5" s="14"/>
      <c r="G5" s="14"/>
      <c r="H5" s="14"/>
    </row>
    <row r="6" spans="1:8" ht="19.5" customHeight="1" x14ac:dyDescent="0.35">
      <c r="A6" s="15" t="s">
        <v>20</v>
      </c>
      <c r="C6" s="15" t="s">
        <v>21</v>
      </c>
      <c r="E6" s="15" t="s">
        <v>22</v>
      </c>
      <c r="F6" s="15" t="s">
        <v>23</v>
      </c>
      <c r="G6" s="15" t="s">
        <v>24</v>
      </c>
    </row>
    <row r="7" spans="1:8" x14ac:dyDescent="0.35">
      <c r="A7" s="16" t="s">
        <v>25</v>
      </c>
      <c r="C7" s="17">
        <v>0</v>
      </c>
      <c r="E7" s="17">
        <v>0</v>
      </c>
      <c r="F7" s="27">
        <f t="shared" ref="F7:F15" si="0">C7-E7</f>
        <v>0</v>
      </c>
      <c r="G7" s="16"/>
    </row>
    <row r="8" spans="1:8" x14ac:dyDescent="0.35">
      <c r="A8" s="16" t="s">
        <v>26</v>
      </c>
      <c r="C8" s="17">
        <v>0</v>
      </c>
      <c r="E8" s="17">
        <v>0</v>
      </c>
      <c r="F8" s="27">
        <f t="shared" si="0"/>
        <v>0</v>
      </c>
      <c r="G8" s="16"/>
    </row>
    <row r="9" spans="1:8" x14ac:dyDescent="0.35">
      <c r="A9" s="16" t="s">
        <v>27</v>
      </c>
      <c r="C9" s="17">
        <v>0</v>
      </c>
      <c r="E9" s="17">
        <v>0</v>
      </c>
      <c r="F9" s="27">
        <f t="shared" si="0"/>
        <v>0</v>
      </c>
      <c r="G9" s="16"/>
    </row>
    <row r="10" spans="1:8" x14ac:dyDescent="0.35">
      <c r="A10" s="16" t="s">
        <v>28</v>
      </c>
      <c r="C10" s="17">
        <v>0</v>
      </c>
      <c r="E10" s="17">
        <v>0</v>
      </c>
      <c r="F10" s="27">
        <f t="shared" si="0"/>
        <v>0</v>
      </c>
      <c r="G10" s="16"/>
    </row>
    <row r="11" spans="1:8" x14ac:dyDescent="0.35">
      <c r="A11" s="16" t="s">
        <v>29</v>
      </c>
      <c r="C11" s="17">
        <v>0</v>
      </c>
      <c r="E11" s="17">
        <v>0</v>
      </c>
      <c r="F11" s="27">
        <f t="shared" si="0"/>
        <v>0</v>
      </c>
      <c r="G11" s="16"/>
    </row>
    <row r="12" spans="1:8" x14ac:dyDescent="0.35">
      <c r="A12" s="16" t="s">
        <v>30</v>
      </c>
      <c r="C12" s="17">
        <v>0</v>
      </c>
      <c r="E12" s="17">
        <v>0</v>
      </c>
      <c r="F12" s="27">
        <f t="shared" si="0"/>
        <v>0</v>
      </c>
      <c r="G12" s="16"/>
    </row>
    <row r="13" spans="1:8" x14ac:dyDescent="0.35">
      <c r="A13" s="16" t="s">
        <v>31</v>
      </c>
      <c r="C13" s="17">
        <v>0</v>
      </c>
      <c r="E13" s="17">
        <v>0</v>
      </c>
      <c r="F13" s="27">
        <f t="shared" si="0"/>
        <v>0</v>
      </c>
      <c r="G13" s="16"/>
    </row>
    <row r="14" spans="1:8" x14ac:dyDescent="0.35">
      <c r="A14" s="16" t="s">
        <v>32</v>
      </c>
      <c r="C14" s="17">
        <v>0</v>
      </c>
      <c r="E14" s="17">
        <v>0</v>
      </c>
      <c r="F14" s="27">
        <f t="shared" si="0"/>
        <v>0</v>
      </c>
      <c r="G14" s="16"/>
    </row>
    <row r="15" spans="1:8" x14ac:dyDescent="0.35">
      <c r="A15" s="18" t="s">
        <v>33</v>
      </c>
      <c r="C15" s="28">
        <f>SUM(C7:C14)</f>
        <v>0</v>
      </c>
      <c r="E15" s="28">
        <f>SUM(E7:E14)</f>
        <v>0</v>
      </c>
      <c r="F15" s="28">
        <f t="shared" si="0"/>
        <v>0</v>
      </c>
    </row>
    <row r="17" spans="1:8" ht="21.75" customHeight="1" x14ac:dyDescent="0.35">
      <c r="A17" s="14" t="s">
        <v>34</v>
      </c>
      <c r="B17" s="14"/>
      <c r="C17" s="14"/>
      <c r="D17" s="14"/>
      <c r="E17" s="14"/>
      <c r="F17" s="14"/>
      <c r="G17" s="14"/>
      <c r="H17" s="14"/>
    </row>
    <row r="18" spans="1:8" x14ac:dyDescent="0.35">
      <c r="A18" s="15" t="s">
        <v>20</v>
      </c>
      <c r="C18" s="15" t="s">
        <v>21</v>
      </c>
      <c r="E18" s="15" t="s">
        <v>22</v>
      </c>
      <c r="F18" s="15" t="s">
        <v>23</v>
      </c>
      <c r="G18" s="15" t="s">
        <v>24</v>
      </c>
    </row>
    <row r="19" spans="1:8" ht="15.75" customHeight="1" x14ac:dyDescent="0.35">
      <c r="A19" s="19" t="s">
        <v>35</v>
      </c>
      <c r="B19" s="19"/>
      <c r="C19" s="19"/>
      <c r="D19" s="19"/>
      <c r="E19" s="19"/>
      <c r="F19" s="19"/>
      <c r="G19" s="19"/>
      <c r="H19" s="19"/>
    </row>
    <row r="20" spans="1:8" x14ac:dyDescent="0.35">
      <c r="A20" s="16" t="s">
        <v>36</v>
      </c>
      <c r="C20" s="17">
        <v>0</v>
      </c>
      <c r="E20" s="17">
        <v>0</v>
      </c>
      <c r="F20" s="27">
        <f>C20-E20</f>
        <v>0</v>
      </c>
      <c r="G20" s="16"/>
    </row>
    <row r="21" spans="1:8" x14ac:dyDescent="0.35">
      <c r="A21" s="16" t="s">
        <v>37</v>
      </c>
      <c r="C21" s="17">
        <v>0</v>
      </c>
      <c r="E21" s="17">
        <v>0</v>
      </c>
      <c r="F21" s="27">
        <f>C21-E21</f>
        <v>0</v>
      </c>
      <c r="G21" s="16"/>
    </row>
    <row r="22" spans="1:8" x14ac:dyDescent="0.35">
      <c r="A22" s="16" t="s">
        <v>38</v>
      </c>
      <c r="C22" s="17">
        <v>0</v>
      </c>
      <c r="E22" s="17">
        <v>0</v>
      </c>
      <c r="F22" s="27">
        <f>C22-E22</f>
        <v>0</v>
      </c>
      <c r="G22" s="16"/>
    </row>
    <row r="23" spans="1:8" x14ac:dyDescent="0.35">
      <c r="A23" s="16" t="s">
        <v>39</v>
      </c>
      <c r="C23" s="17">
        <v>0</v>
      </c>
      <c r="E23" s="17">
        <v>0</v>
      </c>
      <c r="F23" s="27">
        <f>C23-E23</f>
        <v>0</v>
      </c>
      <c r="G23" s="16"/>
    </row>
    <row r="24" spans="1:8" x14ac:dyDescent="0.35">
      <c r="A24" s="16" t="s">
        <v>40</v>
      </c>
      <c r="C24" s="17">
        <v>0</v>
      </c>
      <c r="E24" s="17">
        <v>0</v>
      </c>
      <c r="F24" s="27">
        <f>C24-E24</f>
        <v>0</v>
      </c>
      <c r="G24" s="16"/>
    </row>
    <row r="25" spans="1:8" ht="15.75" customHeight="1" x14ac:dyDescent="0.35">
      <c r="A25" s="19" t="s">
        <v>41</v>
      </c>
      <c r="B25" s="19"/>
      <c r="C25" s="19"/>
      <c r="D25" s="19"/>
      <c r="E25" s="19"/>
      <c r="F25" s="19"/>
      <c r="G25" s="19"/>
      <c r="H25" s="19"/>
    </row>
    <row r="26" spans="1:8" x14ac:dyDescent="0.35">
      <c r="A26" s="16" t="s">
        <v>42</v>
      </c>
      <c r="C26" s="17">
        <v>0</v>
      </c>
      <c r="E26" s="17">
        <v>0</v>
      </c>
      <c r="F26" s="27">
        <f>C26-E26</f>
        <v>0</v>
      </c>
      <c r="G26" s="16"/>
    </row>
    <row r="27" spans="1:8" x14ac:dyDescent="0.35">
      <c r="A27" s="16" t="s">
        <v>43</v>
      </c>
      <c r="C27" s="17">
        <v>0</v>
      </c>
      <c r="E27" s="17">
        <v>0</v>
      </c>
      <c r="F27" s="27">
        <f>C27-E27</f>
        <v>0</v>
      </c>
      <c r="G27" s="16"/>
    </row>
    <row r="28" spans="1:8" x14ac:dyDescent="0.35">
      <c r="A28" s="16" t="s">
        <v>44</v>
      </c>
      <c r="C28" s="17">
        <v>0</v>
      </c>
      <c r="E28" s="17">
        <v>0</v>
      </c>
      <c r="F28" s="27">
        <f>C28-E28</f>
        <v>0</v>
      </c>
      <c r="G28" s="16"/>
    </row>
    <row r="29" spans="1:8" ht="15.75" customHeight="1" x14ac:dyDescent="0.35">
      <c r="A29" s="19" t="s">
        <v>45</v>
      </c>
      <c r="B29" s="19"/>
      <c r="C29" s="19"/>
      <c r="D29" s="19"/>
      <c r="E29" s="19"/>
      <c r="F29" s="19"/>
      <c r="G29" s="19"/>
      <c r="H29" s="19"/>
    </row>
    <row r="30" spans="1:8" x14ac:dyDescent="0.35">
      <c r="A30" s="16" t="s">
        <v>46</v>
      </c>
      <c r="C30" s="17">
        <v>0</v>
      </c>
      <c r="E30" s="17">
        <v>0</v>
      </c>
      <c r="F30" s="27">
        <f>C30-E30</f>
        <v>0</v>
      </c>
      <c r="G30" s="16"/>
    </row>
    <row r="31" spans="1:8" x14ac:dyDescent="0.35">
      <c r="A31" s="16" t="s">
        <v>47</v>
      </c>
      <c r="C31" s="17">
        <v>0</v>
      </c>
      <c r="E31" s="17">
        <v>0</v>
      </c>
      <c r="F31" s="27">
        <f>C31-E31</f>
        <v>0</v>
      </c>
      <c r="G31" s="16"/>
    </row>
    <row r="32" spans="1:8" x14ac:dyDescent="0.35">
      <c r="A32" s="16" t="s">
        <v>48</v>
      </c>
      <c r="C32" s="17">
        <v>0</v>
      </c>
      <c r="E32" s="17">
        <v>0</v>
      </c>
      <c r="F32" s="27">
        <f>C32-E32</f>
        <v>0</v>
      </c>
      <c r="G32" s="16"/>
    </row>
    <row r="33" spans="1:8" x14ac:dyDescent="0.35">
      <c r="A33" s="16" t="s">
        <v>49</v>
      </c>
      <c r="C33" s="17">
        <v>0</v>
      </c>
      <c r="E33" s="17">
        <v>0</v>
      </c>
      <c r="F33" s="27">
        <f>C33-E33</f>
        <v>0</v>
      </c>
      <c r="G33" s="16"/>
    </row>
    <row r="34" spans="1:8" ht="15.75" customHeight="1" x14ac:dyDescent="0.35">
      <c r="A34" s="19" t="s">
        <v>50</v>
      </c>
      <c r="B34" s="19"/>
      <c r="C34" s="19"/>
      <c r="D34" s="19"/>
      <c r="E34" s="19"/>
      <c r="F34" s="19"/>
      <c r="G34" s="19"/>
      <c r="H34" s="19"/>
    </row>
    <row r="35" spans="1:8" x14ac:dyDescent="0.35">
      <c r="A35" s="16" t="s">
        <v>51</v>
      </c>
      <c r="C35" s="17">
        <v>0</v>
      </c>
      <c r="E35" s="17">
        <v>0</v>
      </c>
      <c r="F35" s="27">
        <f>C35-E35</f>
        <v>0</v>
      </c>
      <c r="G35" s="16"/>
    </row>
    <row r="36" spans="1:8" x14ac:dyDescent="0.35">
      <c r="A36" s="16" t="s">
        <v>52</v>
      </c>
      <c r="C36" s="17">
        <v>0</v>
      </c>
      <c r="E36" s="17">
        <v>0</v>
      </c>
      <c r="F36" s="27">
        <f>C36-E36</f>
        <v>0</v>
      </c>
      <c r="G36" s="16"/>
    </row>
    <row r="37" spans="1:8" x14ac:dyDescent="0.35">
      <c r="A37" s="16" t="s">
        <v>53</v>
      </c>
      <c r="C37" s="17">
        <v>0</v>
      </c>
      <c r="E37" s="17">
        <v>0</v>
      </c>
      <c r="F37" s="27">
        <f>C37-E37</f>
        <v>0</v>
      </c>
      <c r="G37" s="16"/>
    </row>
    <row r="38" spans="1:8" ht="15.75" customHeight="1" x14ac:dyDescent="0.35">
      <c r="A38" s="19" t="s">
        <v>54</v>
      </c>
      <c r="B38" s="19"/>
      <c r="C38" s="19"/>
      <c r="D38" s="19"/>
      <c r="E38" s="19"/>
      <c r="F38" s="19"/>
      <c r="G38" s="19"/>
      <c r="H38" s="19"/>
    </row>
    <row r="39" spans="1:8" x14ac:dyDescent="0.35">
      <c r="A39" s="16" t="s">
        <v>55</v>
      </c>
      <c r="C39" s="17">
        <v>0</v>
      </c>
      <c r="E39" s="17">
        <v>0</v>
      </c>
      <c r="F39" s="27">
        <f>C39-E39</f>
        <v>0</v>
      </c>
      <c r="G39" s="16"/>
    </row>
    <row r="40" spans="1:8" x14ac:dyDescent="0.35">
      <c r="A40" s="16" t="s">
        <v>56</v>
      </c>
      <c r="C40" s="17">
        <v>0</v>
      </c>
      <c r="E40" s="17">
        <v>0</v>
      </c>
      <c r="F40" s="27">
        <f>C40-E40</f>
        <v>0</v>
      </c>
      <c r="G40" s="16"/>
    </row>
    <row r="41" spans="1:8" x14ac:dyDescent="0.35">
      <c r="A41" s="16" t="s">
        <v>57</v>
      </c>
      <c r="C41" s="17">
        <v>0</v>
      </c>
      <c r="E41" s="17">
        <v>0</v>
      </c>
      <c r="F41" s="27">
        <f>C41-E41</f>
        <v>0</v>
      </c>
      <c r="G41" s="16"/>
    </row>
    <row r="42" spans="1:8" ht="15.75" customHeight="1" x14ac:dyDescent="0.35">
      <c r="A42" s="19" t="s">
        <v>58</v>
      </c>
      <c r="B42" s="19"/>
      <c r="C42" s="19"/>
      <c r="D42" s="19"/>
      <c r="E42" s="19"/>
      <c r="F42" s="19"/>
      <c r="G42" s="19"/>
      <c r="H42" s="19"/>
    </row>
    <row r="43" spans="1:8" x14ac:dyDescent="0.35">
      <c r="A43" s="16" t="s">
        <v>59</v>
      </c>
      <c r="C43" s="17">
        <v>0</v>
      </c>
      <c r="E43" s="17">
        <v>0</v>
      </c>
      <c r="F43" s="27">
        <f>C43-E43</f>
        <v>0</v>
      </c>
      <c r="G43" s="16"/>
    </row>
    <row r="44" spans="1:8" x14ac:dyDescent="0.35">
      <c r="A44" s="16" t="s">
        <v>60</v>
      </c>
      <c r="C44" s="17">
        <v>0</v>
      </c>
      <c r="E44" s="17">
        <v>0</v>
      </c>
      <c r="F44" s="27">
        <f>C44-E44</f>
        <v>0</v>
      </c>
      <c r="G44" s="16"/>
    </row>
    <row r="45" spans="1:8" x14ac:dyDescent="0.35">
      <c r="A45" s="16" t="s">
        <v>61</v>
      </c>
      <c r="C45" s="17">
        <v>0</v>
      </c>
      <c r="E45" s="17">
        <v>0</v>
      </c>
      <c r="F45" s="27">
        <f>C45-E45</f>
        <v>0</v>
      </c>
      <c r="G45" s="16"/>
    </row>
    <row r="46" spans="1:8" ht="15.75" customHeight="1" x14ac:dyDescent="0.35">
      <c r="A46" s="19" t="s">
        <v>62</v>
      </c>
      <c r="B46" s="19"/>
      <c r="C46" s="19"/>
      <c r="D46" s="19"/>
      <c r="E46" s="19"/>
      <c r="F46" s="19"/>
      <c r="G46" s="19"/>
      <c r="H46" s="19"/>
    </row>
    <row r="47" spans="1:8" x14ac:dyDescent="0.35">
      <c r="A47" s="16" t="s">
        <v>63</v>
      </c>
      <c r="C47" s="17">
        <v>0</v>
      </c>
      <c r="E47" s="17">
        <v>0</v>
      </c>
      <c r="F47" s="27">
        <f>C47-E47</f>
        <v>0</v>
      </c>
      <c r="G47" s="16"/>
    </row>
    <row r="48" spans="1:8" x14ac:dyDescent="0.35">
      <c r="A48" s="16" t="s">
        <v>64</v>
      </c>
      <c r="C48" s="17">
        <v>0</v>
      </c>
      <c r="E48" s="17">
        <v>0</v>
      </c>
      <c r="F48" s="27">
        <f>C48-E48</f>
        <v>0</v>
      </c>
      <c r="G48" s="16"/>
    </row>
    <row r="49" spans="1:8" ht="15.75" customHeight="1" x14ac:dyDescent="0.35">
      <c r="A49" s="19" t="s">
        <v>65</v>
      </c>
      <c r="B49" s="19"/>
      <c r="C49" s="19"/>
      <c r="D49" s="19"/>
      <c r="E49" s="19"/>
      <c r="F49" s="19"/>
      <c r="G49" s="19"/>
      <c r="H49" s="19"/>
    </row>
    <row r="50" spans="1:8" x14ac:dyDescent="0.35">
      <c r="A50" s="16" t="s">
        <v>66</v>
      </c>
      <c r="C50" s="17">
        <v>0</v>
      </c>
      <c r="E50" s="17">
        <v>0</v>
      </c>
      <c r="F50" s="27">
        <f>C50-E50</f>
        <v>0</v>
      </c>
      <c r="G50" s="16"/>
    </row>
    <row r="51" spans="1:8" x14ac:dyDescent="0.35">
      <c r="A51" s="16" t="s">
        <v>67</v>
      </c>
      <c r="C51" s="17">
        <v>0</v>
      </c>
      <c r="E51" s="17">
        <v>0</v>
      </c>
      <c r="F51" s="27">
        <f>C51-E51</f>
        <v>0</v>
      </c>
      <c r="G51" s="16"/>
    </row>
    <row r="52" spans="1:8" x14ac:dyDescent="0.35">
      <c r="A52" s="16" t="s">
        <v>68</v>
      </c>
      <c r="C52" s="17">
        <v>0</v>
      </c>
      <c r="E52" s="17">
        <v>0</v>
      </c>
      <c r="F52" s="27">
        <f>C52-E52</f>
        <v>0</v>
      </c>
      <c r="G52" s="16"/>
    </row>
    <row r="53" spans="1:8" ht="15.75" customHeight="1" x14ac:dyDescent="0.35">
      <c r="A53" s="19" t="s">
        <v>32</v>
      </c>
      <c r="B53" s="19"/>
      <c r="C53" s="19"/>
      <c r="D53" s="19"/>
      <c r="E53" s="19"/>
      <c r="F53" s="19"/>
      <c r="G53" s="19"/>
      <c r="H53" s="19"/>
    </row>
    <row r="54" spans="1:8" x14ac:dyDescent="0.35">
      <c r="A54" s="16" t="s">
        <v>69</v>
      </c>
      <c r="C54" s="17">
        <v>0</v>
      </c>
      <c r="E54" s="17">
        <v>0</v>
      </c>
      <c r="F54" s="27">
        <f>C54-E54</f>
        <v>0</v>
      </c>
      <c r="G54" s="16"/>
    </row>
    <row r="55" spans="1:8" x14ac:dyDescent="0.35">
      <c r="A55" s="16" t="s">
        <v>70</v>
      </c>
      <c r="C55" s="17">
        <v>0</v>
      </c>
      <c r="E55" s="17">
        <v>0</v>
      </c>
      <c r="F55" s="27">
        <f>C55-E55</f>
        <v>0</v>
      </c>
      <c r="G55" s="16"/>
    </row>
    <row r="56" spans="1:8" x14ac:dyDescent="0.35">
      <c r="A56" s="16" t="s">
        <v>71</v>
      </c>
      <c r="C56" s="17">
        <v>0</v>
      </c>
      <c r="E56" s="17">
        <v>0</v>
      </c>
      <c r="F56" s="27">
        <f>C56-E56</f>
        <v>0</v>
      </c>
      <c r="G56" s="16"/>
    </row>
    <row r="57" spans="1:8" x14ac:dyDescent="0.35">
      <c r="A57" s="18" t="s">
        <v>72</v>
      </c>
      <c r="C57" s="29">
        <f>SUM(C19:C56)</f>
        <v>0</v>
      </c>
      <c r="E57" s="29">
        <f>SUM(E19:E56)</f>
        <v>0</v>
      </c>
      <c r="F57" s="28">
        <f>C57-E57</f>
        <v>0</v>
      </c>
    </row>
    <row r="59" spans="1:8" ht="24" customHeight="1" x14ac:dyDescent="0.35">
      <c r="A59" s="20" t="s">
        <v>73</v>
      </c>
      <c r="B59" s="20"/>
      <c r="C59" s="20"/>
      <c r="D59" s="20"/>
      <c r="E59" s="20"/>
      <c r="F59" s="20"/>
      <c r="G59" s="20"/>
      <c r="H59" s="20"/>
    </row>
    <row r="60" spans="1:8" ht="18" customHeight="1" x14ac:dyDescent="0.35">
      <c r="A60" s="21" t="s">
        <v>74</v>
      </c>
      <c r="C60" s="30">
        <f>C15</f>
        <v>0</v>
      </c>
    </row>
    <row r="61" spans="1:8" ht="18" customHeight="1" x14ac:dyDescent="0.35">
      <c r="A61" s="21" t="s">
        <v>75</v>
      </c>
      <c r="C61" s="30">
        <f>C57</f>
        <v>0</v>
      </c>
    </row>
    <row r="62" spans="1:8" ht="18" customHeight="1" x14ac:dyDescent="0.35">
      <c r="A62" s="21" t="s">
        <v>76</v>
      </c>
      <c r="C62" s="30">
        <f>C15-C57</f>
        <v>0</v>
      </c>
    </row>
    <row r="63" spans="1:8" ht="18" customHeight="1" x14ac:dyDescent="0.35">
      <c r="A63" s="21" t="s">
        <v>77</v>
      </c>
      <c r="C63" s="31">
        <f>IF(C15=0,0,(C15-C57)/C15)</f>
        <v>0</v>
      </c>
    </row>
    <row r="65" spans="1:1" x14ac:dyDescent="0.35">
      <c r="A65" s="22" t="s">
        <v>78</v>
      </c>
    </row>
    <row r="66" spans="1:1" ht="13.5" customHeight="1" x14ac:dyDescent="0.35">
      <c r="A66" s="23" t="s">
        <v>79</v>
      </c>
    </row>
    <row r="67" spans="1:1" ht="13.5" customHeight="1" x14ac:dyDescent="0.35">
      <c r="A67" s="24" t="s">
        <v>80</v>
      </c>
    </row>
    <row r="68" spans="1:1" ht="13.5" customHeight="1" x14ac:dyDescent="0.35">
      <c r="A68" s="25" t="s">
        <v>81</v>
      </c>
    </row>
    <row r="69" spans="1:1" ht="13.5" customHeight="1" x14ac:dyDescent="0.35">
      <c r="A69" s="26" t="s">
        <v>82</v>
      </c>
    </row>
  </sheetData>
  <sheetProtection algorithmName="SHA-512" hashValue="dn0O0cChVt+7FS+qENqOp5VDStMuYFDXgcl4tEJ7Yex2kLhtdPd8+vZODs0J9czvi+SUF9Ao/SIEUfBkOML45A==" saltValue="CkgDJt6LbgGxQVgAKR07SA==" spinCount="100000" sheet="1" objects="1" scenarios="1"/>
  <mergeCells count="15">
    <mergeCell ref="A42:H42"/>
    <mergeCell ref="A46:H46"/>
    <mergeCell ref="A49:H49"/>
    <mergeCell ref="A53:H53"/>
    <mergeCell ref="A59:H59"/>
    <mergeCell ref="A19:H19"/>
    <mergeCell ref="A25:H25"/>
    <mergeCell ref="A29:H29"/>
    <mergeCell ref="A34:H34"/>
    <mergeCell ref="A38:H38"/>
    <mergeCell ref="A1:H1"/>
    <mergeCell ref="A2:H2"/>
    <mergeCell ref="A3:B3"/>
    <mergeCell ref="A5:H5"/>
    <mergeCell ref="A17:H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"/>
  <sheetViews>
    <sheetView rightToLeft="1" topLeftCell="A5" zoomScale="71" zoomScaleNormal="100" workbookViewId="0">
      <selection activeCell="N3" sqref="N3:N6"/>
    </sheetView>
  </sheetViews>
  <sheetFormatPr defaultColWidth="8.6328125" defaultRowHeight="14.5" x14ac:dyDescent="0.35"/>
  <cols>
    <col min="1" max="1" width="22" style="8" customWidth="1"/>
    <col min="2" max="14" width="12" style="8" customWidth="1"/>
    <col min="15" max="16384" width="8.6328125" style="8"/>
  </cols>
  <sheetData>
    <row r="1" spans="1:14" ht="27.75" customHeight="1" x14ac:dyDescent="0.35">
      <c r="A1" s="32" t="s">
        <v>83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19.5" customHeight="1" x14ac:dyDescent="0.35">
      <c r="A2" s="33" t="s">
        <v>84</v>
      </c>
      <c r="B2" s="33" t="s">
        <v>17</v>
      </c>
      <c r="C2" s="33" t="s">
        <v>85</v>
      </c>
      <c r="D2" s="33" t="s">
        <v>86</v>
      </c>
      <c r="E2" s="33" t="s">
        <v>87</v>
      </c>
      <c r="F2" s="33" t="s">
        <v>88</v>
      </c>
      <c r="G2" s="33" t="s">
        <v>89</v>
      </c>
      <c r="H2" s="33" t="s">
        <v>90</v>
      </c>
      <c r="I2" s="33" t="s">
        <v>91</v>
      </c>
      <c r="J2" s="33" t="s">
        <v>92</v>
      </c>
      <c r="K2" s="33" t="s">
        <v>93</v>
      </c>
      <c r="L2" s="33" t="s">
        <v>94</v>
      </c>
      <c r="M2" s="33" t="s">
        <v>95</v>
      </c>
      <c r="N2" s="34" t="s">
        <v>96</v>
      </c>
    </row>
    <row r="3" spans="1:14" ht="18" customHeight="1" x14ac:dyDescent="0.35">
      <c r="A3" s="18" t="s">
        <v>33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37">
        <f>SUM(B3:M3)</f>
        <v>0</v>
      </c>
    </row>
    <row r="4" spans="1:14" ht="18" customHeight="1" x14ac:dyDescent="0.35">
      <c r="A4" s="18" t="s">
        <v>72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37">
        <f>SUM(B4:M4)</f>
        <v>0</v>
      </c>
    </row>
    <row r="5" spans="1:14" ht="18" customHeight="1" x14ac:dyDescent="0.35">
      <c r="A5" s="35" t="s">
        <v>97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37">
        <f>SUM(B5:M5)</f>
        <v>0</v>
      </c>
    </row>
    <row r="6" spans="1:14" ht="18" customHeight="1" x14ac:dyDescent="0.35">
      <c r="A6" s="35" t="s">
        <v>98</v>
      </c>
      <c r="B6" s="36">
        <v>0</v>
      </c>
      <c r="C6" s="36">
        <v>0</v>
      </c>
      <c r="D6" s="36">
        <v>0</v>
      </c>
      <c r="E6" s="36">
        <v>0</v>
      </c>
      <c r="F6" s="36">
        <v>0</v>
      </c>
      <c r="G6" s="36">
        <v>0</v>
      </c>
      <c r="H6" s="36">
        <v>0</v>
      </c>
      <c r="I6" s="36">
        <v>0</v>
      </c>
      <c r="J6" s="36">
        <v>0</v>
      </c>
      <c r="K6" s="36">
        <v>0</v>
      </c>
      <c r="L6" s="36">
        <v>0</v>
      </c>
      <c r="M6" s="36">
        <v>0</v>
      </c>
      <c r="N6" s="38">
        <f>AVERAGE(B6:M6)</f>
        <v>0</v>
      </c>
    </row>
  </sheetData>
  <sheetProtection algorithmName="SHA-512" hashValue="G5ni1e+iDZIesoq3ap8l4DRcDm8ETdo4yUypEeL5X5IKvv0qBASYFgLBa4AFq5ahAjah0vKrncaDgtfxzYPZ7w==" saltValue="2MDrICFTAgwcQ33RitXgiQ==" spinCount="100000" sheet="1" objects="1" scenarios="1"/>
  <mergeCells count="1">
    <mergeCell ref="A1:N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rightToLeft="1" zoomScale="85" zoomScaleNormal="100" workbookViewId="0">
      <selection activeCell="F3" sqref="F3:G10"/>
    </sheetView>
  </sheetViews>
  <sheetFormatPr defaultColWidth="8.6328125" defaultRowHeight="14.5" x14ac:dyDescent="0.35"/>
  <cols>
    <col min="1" max="1" width="26" style="8" customWidth="1"/>
    <col min="2" max="3" width="20" style="8" customWidth="1"/>
    <col min="4" max="4" width="18" style="8" customWidth="1"/>
    <col min="5" max="5" width="14" style="8" customWidth="1"/>
    <col min="6" max="6" width="22" style="8" customWidth="1"/>
    <col min="7" max="7" width="16" style="8" customWidth="1"/>
    <col min="8" max="16384" width="8.6328125" style="8"/>
  </cols>
  <sheetData>
    <row r="1" spans="1:7" ht="27.75" customHeight="1" x14ac:dyDescent="0.35">
      <c r="A1" s="32" t="s">
        <v>99</v>
      </c>
      <c r="B1" s="32"/>
      <c r="C1" s="32"/>
      <c r="D1" s="32"/>
      <c r="E1" s="32"/>
      <c r="F1" s="32"/>
      <c r="G1" s="32"/>
    </row>
    <row r="2" spans="1:7" ht="21.75" customHeight="1" x14ac:dyDescent="0.35">
      <c r="A2" s="39" t="s">
        <v>100</v>
      </c>
      <c r="B2" s="39" t="s">
        <v>101</v>
      </c>
      <c r="C2" s="39" t="s">
        <v>102</v>
      </c>
      <c r="D2" s="39" t="s">
        <v>103</v>
      </c>
      <c r="E2" s="39" t="s">
        <v>104</v>
      </c>
      <c r="F2" s="39" t="s">
        <v>105</v>
      </c>
      <c r="G2" s="39" t="s">
        <v>106</v>
      </c>
    </row>
    <row r="3" spans="1:7" ht="18" customHeight="1" x14ac:dyDescent="0.35">
      <c r="A3" s="16" t="s">
        <v>107</v>
      </c>
      <c r="B3" s="40">
        <v>0</v>
      </c>
      <c r="C3" s="40">
        <v>0</v>
      </c>
      <c r="D3" s="41">
        <f t="shared" ref="D3:D10" si="0">IF(B3=0,0,B3-C3)</f>
        <v>0</v>
      </c>
      <c r="E3" s="13">
        <v>12</v>
      </c>
      <c r="F3" s="41">
        <f t="shared" ref="F3:F10" si="1">IF(E3=0,0,D3/E3)</f>
        <v>0</v>
      </c>
      <c r="G3" s="42">
        <f t="shared" ref="G3:G10" si="2">IF(B3=0,0,MIN(C3/B3,1))</f>
        <v>0</v>
      </c>
    </row>
    <row r="4" spans="1:7" ht="18" customHeight="1" x14ac:dyDescent="0.35">
      <c r="A4" s="16" t="s">
        <v>108</v>
      </c>
      <c r="B4" s="40">
        <v>0</v>
      </c>
      <c r="C4" s="40">
        <v>0</v>
      </c>
      <c r="D4" s="41">
        <f t="shared" si="0"/>
        <v>0</v>
      </c>
      <c r="E4" s="13">
        <v>12</v>
      </c>
      <c r="F4" s="41">
        <f t="shared" si="1"/>
        <v>0</v>
      </c>
      <c r="G4" s="42">
        <f t="shared" si="2"/>
        <v>0</v>
      </c>
    </row>
    <row r="5" spans="1:7" ht="18" customHeight="1" x14ac:dyDescent="0.35">
      <c r="A5" s="16" t="s">
        <v>109</v>
      </c>
      <c r="B5" s="40">
        <v>0</v>
      </c>
      <c r="C5" s="40">
        <v>0</v>
      </c>
      <c r="D5" s="41">
        <f t="shared" si="0"/>
        <v>0</v>
      </c>
      <c r="E5" s="13">
        <v>12</v>
      </c>
      <c r="F5" s="41">
        <f t="shared" si="1"/>
        <v>0</v>
      </c>
      <c r="G5" s="42">
        <f t="shared" si="2"/>
        <v>0</v>
      </c>
    </row>
    <row r="6" spans="1:7" ht="18" customHeight="1" x14ac:dyDescent="0.35">
      <c r="A6" s="16" t="s">
        <v>110</v>
      </c>
      <c r="B6" s="40">
        <v>0</v>
      </c>
      <c r="C6" s="40">
        <v>0</v>
      </c>
      <c r="D6" s="41">
        <f t="shared" si="0"/>
        <v>0</v>
      </c>
      <c r="E6" s="13">
        <v>12</v>
      </c>
      <c r="F6" s="41">
        <f t="shared" si="1"/>
        <v>0</v>
      </c>
      <c r="G6" s="42">
        <f t="shared" si="2"/>
        <v>0</v>
      </c>
    </row>
    <row r="7" spans="1:7" ht="18" customHeight="1" x14ac:dyDescent="0.35">
      <c r="A7" s="16" t="s">
        <v>111</v>
      </c>
      <c r="B7" s="40">
        <v>0</v>
      </c>
      <c r="C7" s="40">
        <v>0</v>
      </c>
      <c r="D7" s="41">
        <f t="shared" si="0"/>
        <v>0</v>
      </c>
      <c r="E7" s="13">
        <v>12</v>
      </c>
      <c r="F7" s="41">
        <f t="shared" si="1"/>
        <v>0</v>
      </c>
      <c r="G7" s="42">
        <f t="shared" si="2"/>
        <v>0</v>
      </c>
    </row>
    <row r="8" spans="1:7" ht="18" customHeight="1" x14ac:dyDescent="0.35">
      <c r="A8" s="16" t="s">
        <v>112</v>
      </c>
      <c r="B8" s="40">
        <v>0</v>
      </c>
      <c r="C8" s="40">
        <v>0</v>
      </c>
      <c r="D8" s="41">
        <f t="shared" si="0"/>
        <v>0</v>
      </c>
      <c r="E8" s="13">
        <v>12</v>
      </c>
      <c r="F8" s="41">
        <f t="shared" si="1"/>
        <v>0</v>
      </c>
      <c r="G8" s="42">
        <f t="shared" si="2"/>
        <v>0</v>
      </c>
    </row>
    <row r="9" spans="1:7" ht="18" customHeight="1" x14ac:dyDescent="0.35">
      <c r="A9" s="16" t="s">
        <v>113</v>
      </c>
      <c r="B9" s="40">
        <v>0</v>
      </c>
      <c r="C9" s="40">
        <v>0</v>
      </c>
      <c r="D9" s="41">
        <f t="shared" si="0"/>
        <v>0</v>
      </c>
      <c r="E9" s="13">
        <v>12</v>
      </c>
      <c r="F9" s="41">
        <f t="shared" si="1"/>
        <v>0</v>
      </c>
      <c r="G9" s="42">
        <f t="shared" si="2"/>
        <v>0</v>
      </c>
    </row>
    <row r="10" spans="1:7" ht="18" customHeight="1" x14ac:dyDescent="0.35">
      <c r="A10" s="16" t="s">
        <v>114</v>
      </c>
      <c r="B10" s="40">
        <v>0</v>
      </c>
      <c r="C10" s="40">
        <v>0</v>
      </c>
      <c r="D10" s="41">
        <f t="shared" si="0"/>
        <v>0</v>
      </c>
      <c r="E10" s="13">
        <v>12</v>
      </c>
      <c r="F10" s="41">
        <f t="shared" si="1"/>
        <v>0</v>
      </c>
      <c r="G10" s="42">
        <f t="shared" si="2"/>
        <v>0</v>
      </c>
    </row>
    <row r="13" spans="1:7" x14ac:dyDescent="0.35">
      <c r="A13" s="22" t="s">
        <v>78</v>
      </c>
    </row>
    <row r="14" spans="1:7" ht="13.5" customHeight="1" x14ac:dyDescent="0.35">
      <c r="A14" s="23" t="s">
        <v>79</v>
      </c>
    </row>
    <row r="15" spans="1:7" ht="13.5" customHeight="1" x14ac:dyDescent="0.35">
      <c r="A15" s="24" t="s">
        <v>80</v>
      </c>
    </row>
    <row r="16" spans="1:7" ht="13.5" customHeight="1" x14ac:dyDescent="0.35">
      <c r="A16" s="25" t="s">
        <v>81</v>
      </c>
    </row>
    <row r="17" spans="1:1" ht="13.5" customHeight="1" x14ac:dyDescent="0.35">
      <c r="A17" s="26" t="s">
        <v>82</v>
      </c>
    </row>
  </sheetData>
  <sheetProtection algorithmName="SHA-512" hashValue="nG76ahLRw4NrhEsnOZqdJ0OOJqLWaK+iT0xclVtESLoZ4Ec6n6+tHA0SNQrMrIMst4EzWeQkRFp/EEwu+/xBww==" saltValue="r7JIEi1n5t/nG6wzTqvckQ==" spinCount="100000" sheet="1" objects="1" scenarios="1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"/>
  <sheetViews>
    <sheetView rightToLeft="1" topLeftCell="A11" zoomScaleNormal="100" workbookViewId="0">
      <selection activeCell="C30" sqref="C30"/>
    </sheetView>
  </sheetViews>
  <sheetFormatPr defaultColWidth="8.6328125" defaultRowHeight="14.5" x14ac:dyDescent="0.35"/>
  <cols>
    <col min="1" max="1" width="28" style="8" customWidth="1"/>
    <col min="2" max="2" width="5" style="8" customWidth="1"/>
    <col min="3" max="3" width="20" style="8" customWidth="1"/>
    <col min="4" max="4" width="5" style="8" customWidth="1"/>
    <col min="5" max="5" width="10" style="8" customWidth="1"/>
    <col min="6" max="16384" width="8.6328125" style="8"/>
  </cols>
  <sheetData>
    <row r="1" spans="1:5" ht="27.75" customHeight="1" x14ac:dyDescent="0.35">
      <c r="A1" s="32" t="s">
        <v>115</v>
      </c>
      <c r="B1" s="32"/>
      <c r="C1" s="32"/>
      <c r="D1" s="32"/>
      <c r="E1" s="32"/>
    </row>
    <row r="2" spans="1:5" ht="15" customHeight="1" x14ac:dyDescent="0.35">
      <c r="A2" s="9" t="s">
        <v>116</v>
      </c>
      <c r="B2" s="9"/>
      <c r="C2" s="9"/>
      <c r="D2" s="9"/>
      <c r="E2" s="9"/>
    </row>
    <row r="3" spans="1:5" ht="15" customHeight="1" x14ac:dyDescent="0.35">
      <c r="A3" s="14" t="s">
        <v>117</v>
      </c>
      <c r="B3" s="14"/>
      <c r="C3" s="14"/>
      <c r="D3" s="14"/>
      <c r="E3" s="14"/>
    </row>
    <row r="4" spans="1:5" ht="15" customHeight="1" x14ac:dyDescent="0.35">
      <c r="A4" s="19" t="s">
        <v>118</v>
      </c>
      <c r="B4" s="19"/>
      <c r="C4" s="19"/>
      <c r="D4" s="19"/>
      <c r="E4" s="19"/>
    </row>
    <row r="5" spans="1:5" x14ac:dyDescent="0.35">
      <c r="A5" s="16" t="s">
        <v>119</v>
      </c>
      <c r="C5" s="40">
        <v>0</v>
      </c>
    </row>
    <row r="6" spans="1:5" x14ac:dyDescent="0.35">
      <c r="A6" s="16" t="s">
        <v>120</v>
      </c>
      <c r="C6" s="40">
        <v>0</v>
      </c>
    </row>
    <row r="7" spans="1:5" x14ac:dyDescent="0.35">
      <c r="A7" s="16" t="s">
        <v>121</v>
      </c>
      <c r="C7" s="40">
        <v>0</v>
      </c>
    </row>
    <row r="8" spans="1:5" ht="15" customHeight="1" x14ac:dyDescent="0.35">
      <c r="A8" s="19" t="s">
        <v>122</v>
      </c>
      <c r="B8" s="19"/>
      <c r="C8" s="19"/>
      <c r="D8" s="19"/>
      <c r="E8" s="19"/>
    </row>
    <row r="9" spans="1:5" x14ac:dyDescent="0.35">
      <c r="A9" s="16" t="s">
        <v>123</v>
      </c>
      <c r="C9" s="40">
        <v>0</v>
      </c>
    </row>
    <row r="10" spans="1:5" x14ac:dyDescent="0.35">
      <c r="A10" s="16" t="s">
        <v>124</v>
      </c>
      <c r="C10" s="40">
        <v>0</v>
      </c>
    </row>
    <row r="11" spans="1:5" ht="15" customHeight="1" x14ac:dyDescent="0.35">
      <c r="A11" s="19" t="s">
        <v>125</v>
      </c>
      <c r="B11" s="19"/>
      <c r="C11" s="19"/>
      <c r="D11" s="19"/>
      <c r="E11" s="19"/>
    </row>
    <row r="12" spans="1:5" x14ac:dyDescent="0.35">
      <c r="A12" s="16" t="s">
        <v>126</v>
      </c>
      <c r="C12" s="40">
        <v>0</v>
      </c>
    </row>
    <row r="13" spans="1:5" x14ac:dyDescent="0.35">
      <c r="A13" s="16" t="s">
        <v>127</v>
      </c>
      <c r="C13" s="40">
        <v>0</v>
      </c>
    </row>
    <row r="14" spans="1:5" ht="15" customHeight="1" x14ac:dyDescent="0.35">
      <c r="A14" s="19" t="s">
        <v>32</v>
      </c>
      <c r="B14" s="19"/>
      <c r="C14" s="19"/>
      <c r="D14" s="19"/>
      <c r="E14" s="19"/>
    </row>
    <row r="15" spans="1:5" x14ac:dyDescent="0.35">
      <c r="A15" s="16" t="s">
        <v>128</v>
      </c>
      <c r="C15" s="40">
        <v>0</v>
      </c>
    </row>
    <row r="16" spans="1:5" x14ac:dyDescent="0.35">
      <c r="A16" s="16" t="s">
        <v>129</v>
      </c>
      <c r="C16" s="40">
        <v>0</v>
      </c>
    </row>
    <row r="17" spans="1:5" x14ac:dyDescent="0.35">
      <c r="A17" s="18" t="s">
        <v>130</v>
      </c>
      <c r="C17" s="28">
        <f>SUM(C4:C16)</f>
        <v>0</v>
      </c>
    </row>
    <row r="19" spans="1:5" ht="15" customHeight="1" x14ac:dyDescent="0.35">
      <c r="A19" s="14" t="s">
        <v>131</v>
      </c>
      <c r="B19" s="14"/>
      <c r="C19" s="14"/>
      <c r="D19" s="14"/>
      <c r="E19" s="14"/>
    </row>
    <row r="20" spans="1:5" ht="15" customHeight="1" x14ac:dyDescent="0.35">
      <c r="A20" s="43" t="s">
        <v>132</v>
      </c>
      <c r="B20" s="43"/>
      <c r="C20" s="43"/>
      <c r="D20" s="43"/>
      <c r="E20" s="43"/>
    </row>
    <row r="21" spans="1:5" x14ac:dyDescent="0.35">
      <c r="A21" s="16" t="s">
        <v>133</v>
      </c>
      <c r="C21" s="40">
        <v>0</v>
      </c>
    </row>
    <row r="22" spans="1:5" x14ac:dyDescent="0.35">
      <c r="A22" s="16" t="s">
        <v>134</v>
      </c>
      <c r="C22" s="40">
        <v>0</v>
      </c>
    </row>
    <row r="23" spans="1:5" x14ac:dyDescent="0.35">
      <c r="A23" s="16" t="s">
        <v>135</v>
      </c>
      <c r="C23" s="40">
        <v>0</v>
      </c>
    </row>
    <row r="24" spans="1:5" ht="15" customHeight="1" x14ac:dyDescent="0.35">
      <c r="A24" s="43" t="s">
        <v>136</v>
      </c>
      <c r="B24" s="43"/>
      <c r="C24" s="43"/>
      <c r="D24" s="43"/>
      <c r="E24" s="43"/>
    </row>
    <row r="25" spans="1:5" x14ac:dyDescent="0.35">
      <c r="A25" s="16" t="s">
        <v>137</v>
      </c>
      <c r="C25" s="40">
        <v>0</v>
      </c>
    </row>
    <row r="26" spans="1:5" ht="15" customHeight="1" x14ac:dyDescent="0.35">
      <c r="A26" s="43" t="s">
        <v>32</v>
      </c>
      <c r="B26" s="43"/>
      <c r="C26" s="43"/>
      <c r="D26" s="43"/>
      <c r="E26" s="43"/>
    </row>
    <row r="27" spans="1:5" x14ac:dyDescent="0.35">
      <c r="A27" s="16" t="s">
        <v>138</v>
      </c>
      <c r="C27" s="40">
        <v>0</v>
      </c>
    </row>
    <row r="28" spans="1:5" x14ac:dyDescent="0.35">
      <c r="A28" s="18" t="s">
        <v>139</v>
      </c>
      <c r="C28" s="29">
        <f>SUM(C20:C27)</f>
        <v>0</v>
      </c>
    </row>
    <row r="30" spans="1:5" ht="25.5" customHeight="1" x14ac:dyDescent="0.35">
      <c r="A30" s="44" t="s">
        <v>140</v>
      </c>
      <c r="B30" s="44"/>
      <c r="C30" s="30">
        <f>C17-C28</f>
        <v>0</v>
      </c>
    </row>
  </sheetData>
  <sheetProtection algorithmName="SHA-512" hashValue="GCCtzn605vseEq6akW3zzq5lF17tlRXgOc6NPn2gefeTvx7twY1ZzubsESQ4WM/NLvns+tc3/fpNLaODq1xGIA==" saltValue="HMv4gRHz21jEbNNAk8ISLw==" spinCount="100000" sheet="1" objects="1" scenarios="1"/>
  <mergeCells count="12">
    <mergeCell ref="A26:E26"/>
    <mergeCell ref="A30:B30"/>
    <mergeCell ref="A11:E11"/>
    <mergeCell ref="A14:E14"/>
    <mergeCell ref="A19:E19"/>
    <mergeCell ref="A20:E20"/>
    <mergeCell ref="A24:E24"/>
    <mergeCell ref="A1:E1"/>
    <mergeCell ref="A2:E2"/>
    <mergeCell ref="A3:E3"/>
    <mergeCell ref="A4:E4"/>
    <mergeCell ref="A8:E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الغلاف</vt:lpstr>
      <vt:lpstr>الميزانية الشهرية</vt:lpstr>
      <vt:lpstr>المتابعة السنوية</vt:lpstr>
      <vt:lpstr>أهداف الادخار</vt:lpstr>
      <vt:lpstr>صافي الثروة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abdullahmonief@outlook.sa</cp:lastModifiedBy>
  <cp:revision>1</cp:revision>
  <dcterms:created xsi:type="dcterms:W3CDTF">2026-06-08T08:32:15Z</dcterms:created>
  <dcterms:modified xsi:type="dcterms:W3CDTF">2026-06-11T18:43:57Z</dcterms:modified>
  <dc:language>en-US</dc:language>
</cp:coreProperties>
</file>