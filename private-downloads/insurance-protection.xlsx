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E2A6BD5A-9E06-4E4D-9F2C-AA0BE00B9D73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الغلاف" sheetId="1" r:id="rId1"/>
    <sheet name="تأمين الحياة" sheetId="2" r:id="rId2"/>
    <sheet name="مقارنة التأمين الصحي" sheetId="3" r:id="rId3"/>
    <sheet name="صندوق الطوارئ" sheetId="4" r:id="rId4"/>
    <sheet name="تأمين الأعمال" sheetId="5" r:id="rId5"/>
    <sheet name="تحليل فجوة التغطية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6" l="1"/>
  <c r="F10" i="6" s="1"/>
  <c r="D10" i="6"/>
  <c r="E9" i="6"/>
  <c r="F9" i="6" s="1"/>
  <c r="D9" i="6"/>
  <c r="E8" i="6"/>
  <c r="F8" i="6" s="1"/>
  <c r="D8" i="6"/>
  <c r="F7" i="6"/>
  <c r="E7" i="6"/>
  <c r="D7" i="6"/>
  <c r="F6" i="6"/>
  <c r="E6" i="6"/>
  <c r="D6" i="6"/>
  <c r="E5" i="6"/>
  <c r="F5" i="6" s="1"/>
  <c r="D5" i="6"/>
  <c r="E4" i="6"/>
  <c r="F4" i="6" s="1"/>
  <c r="D4" i="6"/>
  <c r="D11" i="6" s="1"/>
  <c r="D19" i="5"/>
  <c r="D18" i="5"/>
  <c r="D17" i="5"/>
  <c r="D16" i="5"/>
  <c r="D15" i="5"/>
  <c r="D14" i="5"/>
  <c r="D13" i="5"/>
  <c r="D12" i="5"/>
  <c r="B23" i="4"/>
  <c r="B22" i="4"/>
  <c r="B13" i="4"/>
  <c r="B19" i="4" s="1"/>
  <c r="B21" i="4" s="1"/>
  <c r="D7" i="3"/>
  <c r="C7" i="3"/>
  <c r="B7" i="3"/>
  <c r="B26" i="2"/>
  <c r="B24" i="2"/>
  <c r="B22" i="2"/>
  <c r="B25" i="2" s="1"/>
  <c r="A27" i="2" s="1"/>
  <c r="B21" i="2"/>
  <c r="B23" i="2" s="1"/>
</calcChain>
</file>

<file path=xl/sharedStrings.xml><?xml version="1.0" encoding="utf-8"?>
<sst xmlns="http://schemas.openxmlformats.org/spreadsheetml/2006/main" count="190" uniqueCount="146">
  <si>
    <t>حاسبة التأمين والحماية المالية الشاملة</t>
  </si>
  <si>
    <t>احمِ نفسك وعائلتك وأعمالك – اعرف ما تحتاجه بالضبط</t>
  </si>
  <si>
    <t>🛡️ تأمين الحياة</t>
  </si>
  <si>
    <t>🏥 التأمين الصحي</t>
  </si>
  <si>
    <t>🚗 تأمين السيارة</t>
  </si>
  <si>
    <t>كم تحتاج من تغطية؟</t>
  </si>
  <si>
    <t>قارن خطط التأمين</t>
  </si>
  <si>
    <t>احسب قسطك التقديري</t>
  </si>
  <si>
    <t>🏢 تأمين الأعمال</t>
  </si>
  <si>
    <t>📊 تحليل الفجوة</t>
  </si>
  <si>
    <t>💰 صندوق الطوارئ</t>
  </si>
  <si>
    <t>حماية مشروعك</t>
  </si>
  <si>
    <t>ما الذي تحتاج تغطيته؟</t>
  </si>
  <si>
    <t>احسب حاجتك الفعلية</t>
  </si>
  <si>
    <t>حاسبة الاحتياج من تأمين الحياة</t>
  </si>
  <si>
    <t>احسب المبلغ الذي تحتاجه عائلتك للاستمرار في حياة كريمة إذا غبت</t>
  </si>
  <si>
    <t>بياناتك الشخصية</t>
  </si>
  <si>
    <t>عمرك الحالي</t>
  </si>
  <si>
    <t>عدد أفراد العائلة المعالين</t>
  </si>
  <si>
    <t>عمر أصغر طفل</t>
  </si>
  <si>
    <t>دخلك الشهري الصافي (ريال)</t>
  </si>
  <si>
    <t>سنوات الدخل المطلوب تعويضها</t>
  </si>
  <si>
    <t>الالتزامات والاحتياجات</t>
  </si>
  <si>
    <t>إجمالي الديون والقروض (ريال)</t>
  </si>
  <si>
    <t>تكاليف التعليم المتبقية للأبناء (ريال)</t>
  </si>
  <si>
    <t>تكاليف الجنازة والمصاريف الفورية (ريال)</t>
  </si>
  <si>
    <t>الإيجار السنوي للعائلة (ريال)</t>
  </si>
  <si>
    <t>تكاليف المعيشة السنوية للعائلة (ريال)</t>
  </si>
  <si>
    <t>أصولك الحالية (تُخصم من الاحتياج)</t>
  </si>
  <si>
    <t>مدخراتك الاستثمارية الحالية (ريال)</t>
  </si>
  <si>
    <t>تأمين الحياة الحالي إن وجد (ريال)</t>
  </si>
  <si>
    <t>مزايا الوفاة من العمل (ريال)</t>
  </si>
  <si>
    <t>⭐ النتائج</t>
  </si>
  <si>
    <t>الاحتياج من الدخل (ريال)</t>
  </si>
  <si>
    <t>إجمالي الالتزامات الفورية (ريال)</t>
  </si>
  <si>
    <t>إجمالي الاحتياج الكلي (ريال)</t>
  </si>
  <si>
    <t>إجمالي الأصول الموجودة (ريال)</t>
  </si>
  <si>
    <t>⭐ الفجوة في التغطية (ريال)</t>
  </si>
  <si>
    <t>القسط الشهري التقديري (ريال)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</si>
  <si>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</si>
  <si>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</si>
  <si>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</si>
  <si>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</si>
  <si>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</si>
  <si>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مقارنة خطط التأمين الصحي</t>
  </si>
  <si>
    <t>عدد أفراد العائلة المؤمَّن عليهم</t>
  </si>
  <si>
    <t>مدينة الإقامة</t>
  </si>
  <si>
    <t>الرياض</t>
  </si>
  <si>
    <t>معيار المقارنة</t>
  </si>
  <si>
    <t>الخطة الأساسية</t>
  </si>
  <si>
    <t>الخطة المتوسطة</t>
  </si>
  <si>
    <t>الخطة المميزة</t>
  </si>
  <si>
    <t>خطتك الحالية</t>
  </si>
  <si>
    <t>القسط السنوي للفرد (ريال)</t>
  </si>
  <si>
    <t>إجمالي القسط السنوي (ريال)</t>
  </si>
  <si>
    <t>سقف التغطية السنوي (ريال)</t>
  </si>
  <si>
    <t>التحمّل عند كل زيارة (ريال)</t>
  </si>
  <si>
    <t>تغطية الأسنان</t>
  </si>
  <si>
    <t>لا</t>
  </si>
  <si>
    <t>جزئي</t>
  </si>
  <si>
    <t>كامل</t>
  </si>
  <si>
    <t>تغطية النظر</t>
  </si>
  <si>
    <t>تغطية الولادة</t>
  </si>
  <si>
    <t>نعم</t>
  </si>
  <si>
    <t>العلاج خارج المملكة</t>
  </si>
  <si>
    <t>محدود</t>
  </si>
  <si>
    <t>الطوارئ الدولية</t>
  </si>
  <si>
    <t>شبكة المستشفيات</t>
  </si>
  <si>
    <t>محدودة</t>
  </si>
  <si>
    <t>متوسطة</t>
  </si>
  <si>
    <t>واسعة</t>
  </si>
  <si>
    <t>💡 نصيحة: اختر خطتك بناءً على وضعك الصحي وميزانيتك – القسط الأرخص ليس دائماً الأفضل</t>
  </si>
  <si>
    <t>حاسبة صندوق الطوارئ المثالي</t>
  </si>
  <si>
    <t>صندوق الطوارئ = شبكة أمانك الأولى قبل أي استثمار آخر</t>
  </si>
  <si>
    <t>مصاريفك الشهرية الإلزامية</t>
  </si>
  <si>
    <t>الإيجار أو قسط المسكن</t>
  </si>
  <si>
    <t>الغذاء والمشتريات الأساسية</t>
  </si>
  <si>
    <t>الكهرباء والماء والإنترنت</t>
  </si>
  <si>
    <t>قسط السيارة والوقود</t>
  </si>
  <si>
    <t>أقساط القروض الإلزامية</t>
  </si>
  <si>
    <t>التأمين الصحي</t>
  </si>
  <si>
    <t>تعليم الأبناء</t>
  </si>
  <si>
    <t>مصاريف لا غنى عنها أخرى</t>
  </si>
  <si>
    <t>إجمالي المصاريف الإلزامية الشهرية</t>
  </si>
  <si>
    <t>احتياجك من صندوق الطوارئ</t>
  </si>
  <si>
    <t>استقرار وظيفتك</t>
  </si>
  <si>
    <t>مستقر</t>
  </si>
  <si>
    <t>عدد المعالين</t>
  </si>
  <si>
    <t>عدد أشهر الطوارئ المستهدفة</t>
  </si>
  <si>
    <t>⭐ صندوق الطوارئ المطلوب (ريال)</t>
  </si>
  <si>
    <t>ما لديك حالياً في صندوق الطوارئ (ريال)</t>
  </si>
  <si>
    <t>الفجوة المتبقية (ريال)</t>
  </si>
  <si>
    <t>الادخار الشهري لسد الفجوة خلال سنة (ريال)</t>
  </si>
  <si>
    <t>الادخار الشهري لسد الفجوة خلال سنتين (ريال)</t>
  </si>
  <si>
    <t>أين تحتفظ بصندوق الطوارئ؟</t>
  </si>
  <si>
    <t>✅ حساب توفير بنكي منفصل</t>
  </si>
  <si>
    <t>سهل الوصول، لا يُغريك بالإنفاق</t>
  </si>
  <si>
    <t>✅ صندوق سوق النقد (Money Market)</t>
  </si>
  <si>
    <t>عائد أعلى مع سيولة</t>
  </si>
  <si>
    <t>⚠️ ليس في الأسهم أو العقار</t>
  </si>
  <si>
    <t>لا تستثمر صندوق الطوارئ – يجب أن يكون جاهزاً دائماً</t>
  </si>
  <si>
    <t>⚠️ ليس مع مدخرات الاستثمار</t>
  </si>
  <si>
    <t>افصله تماماً – هدفه مختلف</t>
  </si>
  <si>
    <t>حاسبة تأمين الأعمال والمنشآت التجارية</t>
  </si>
  <si>
    <t>معلومات المنشأة</t>
  </si>
  <si>
    <t>نوع النشاط التجاري</t>
  </si>
  <si>
    <t>مطعم / تجزئة / خدمات</t>
  </si>
  <si>
    <t>قيمة الأصول الثابتة (ريال)</t>
  </si>
  <si>
    <t>قيمة المخزون (ريال)</t>
  </si>
  <si>
    <t>عدد الموظفين</t>
  </si>
  <si>
    <t>الإيراد السنوي (ريال)</t>
  </si>
  <si>
    <t>أنواع التأمين المطلوبة لمنشأتك</t>
  </si>
  <si>
    <t>نوع التأمين</t>
  </si>
  <si>
    <t>إلزامي؟</t>
  </si>
  <si>
    <t>التغطية المقترحة (ريال)</t>
  </si>
  <si>
    <t>القسط التقديري السنوي (ريال)</t>
  </si>
  <si>
    <t>الأولوية</t>
  </si>
  <si>
    <t>تأمين الممتلكات والحريق</t>
  </si>
  <si>
    <t>إلزامي</t>
  </si>
  <si>
    <t>عالية جداً</t>
  </si>
  <si>
    <t>تأمين المسؤولية تجاه الغير</t>
  </si>
  <si>
    <t>تأمين الموظفين (GOSI)</t>
  </si>
  <si>
    <t>وفق عدد الموظفين</t>
  </si>
  <si>
    <t>إلزامي نظاماً</t>
  </si>
  <si>
    <t>تأمين المخزون والبضاعة</t>
  </si>
  <si>
    <t>مستحسن</t>
  </si>
  <si>
    <t>عالية</t>
  </si>
  <si>
    <t>تأمين انقطاع الأعمال</t>
  </si>
  <si>
    <t>تأمين السيارات التجارية</t>
  </si>
  <si>
    <t>حسب الحاجة</t>
  </si>
  <si>
    <t>تأمين الإلكترونيات والمعدات</t>
  </si>
  <si>
    <t>إجمالي أقساط التأمين السنوية (ريال)</t>
  </si>
  <si>
    <t>تحليل شامل لفجوة الحماية المالية</t>
  </si>
  <si>
    <t>نوع الحماية</t>
  </si>
  <si>
    <t>الاحتياج (ريال)</t>
  </si>
  <si>
    <t>التغطية الحالية (ريال)</t>
  </si>
  <si>
    <t>الفجوة (ريال)</t>
  </si>
  <si>
    <t>نسبة التغطية %</t>
  </si>
  <si>
    <t>التوصية</t>
  </si>
  <si>
    <t>تأمين الحياة</t>
  </si>
  <si>
    <t>تأمين العجز عن العمل</t>
  </si>
  <si>
    <t>صندوق الطوارئ</t>
  </si>
  <si>
    <t>تأمين الممتلكات</t>
  </si>
  <si>
    <t>تأمين السيارة</t>
  </si>
  <si>
    <t>تأمين مسؤولية الأعمال</t>
  </si>
  <si>
    <t>إجمالي الفجوة التأمينية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</si>
</sst>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b/>
      <sz val="10"/>
      <color rgb="FF2E5FA3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9"/>
      <color rgb="FFFFFFFF"/>
      <name val="Arial"/>
      <charset val="1"/>
    </font>
    <font>
      <b/>
      <sz val="10"/>
      <color rgb="FF7B0000"/>
      <name val="Arial"/>
      <charset val="1"/>
    </font>
    <font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8" fillId="10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8" fillId="6" borderId="2" xfId="0" applyFont="1" applyFill="1" applyBorder="1" applyAlignment="1">
      <alignment horizontal="left" vertical="center" wrapText="1"/>
    </xf>
    <xf numFmtId="3" fontId="9" fillId="5" borderId="2" xfId="0" applyNumberFormat="1" applyFont="1" applyFill="1" applyBorder="1" applyAlignment="1">
      <alignment horizontal="right" vertical="center"/>
    </xf>
    <xf numFmtId="3" fontId="8" fillId="7" borderId="2" xfId="0" applyNumberFormat="1" applyFont="1" applyFill="1" applyBorder="1" applyAlignment="1">
      <alignment horizontal="right" vertical="center"/>
    </xf>
    <xf numFmtId="4" fontId="11" fillId="8" borderId="3" xfId="0" applyNumberFormat="1" applyFont="1" applyFill="1" applyBorder="1" applyAlignment="1">
      <alignment horizontal="right" vertical="center"/>
    </xf>
    <xf numFmtId="0" fontId="14" fillId="0" borderId="0" xfId="0" applyFont="1"/>
    <xf numFmtId="0" fontId="15" fillId="5" borderId="2" xfId="0" applyFont="1" applyFill="1" applyBorder="1"/>
    <xf numFmtId="0" fontId="16" fillId="7" borderId="2" xfId="0" applyFont="1" applyFill="1" applyBorder="1"/>
    <xf numFmtId="0" fontId="17" fillId="8" borderId="2" xfId="0" applyFont="1" applyFill="1" applyBorder="1"/>
    <xf numFmtId="0" fontId="18" fillId="10" borderId="2" xfId="0" applyFont="1" applyFill="1" applyBorder="1"/>
    <xf numFmtId="49" fontId="9" fillId="5" borderId="2" xfId="0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4" fontId="20" fillId="10" borderId="3" xfId="0" applyNumberFormat="1" applyFont="1" applyFill="1" applyBorder="1" applyAlignment="1">
      <alignment horizontal="right" vertical="center"/>
    </xf>
    <xf numFmtId="0" fontId="8" fillId="10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9" fontId="8" fillId="7" borderId="2" xfId="0" applyNumberFormat="1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left" vertical="center" wrapText="1"/>
      <protection locked="0"/>
    </xf>
    <xf numFmtId="1" fontId="9" fillId="5" borderId="2" xfId="0" applyNumberFormat="1" applyFont="1" applyFill="1" applyBorder="1" applyAlignment="1" applyProtection="1">
      <alignment horizontal="right" vertical="center"/>
      <protection locked="0"/>
    </xf>
    <xf numFmtId="3" fontId="9" fillId="5" borderId="2" xfId="0" applyNumberFormat="1" applyFont="1" applyFill="1" applyBorder="1" applyAlignment="1" applyProtection="1">
      <alignment horizontal="right" vertical="center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2" xfId="0" applyFont="1" applyFill="1" applyBorder="1" applyProtection="1">
      <protection locked="0"/>
    </xf>
    <xf numFmtId="0" fontId="16" fillId="7" borderId="2" xfId="0" applyFont="1" applyFill="1" applyBorder="1" applyProtection="1">
      <protection locked="0"/>
    </xf>
    <xf numFmtId="0" fontId="17" fillId="8" borderId="2" xfId="0" applyFont="1" applyFill="1" applyBorder="1" applyProtection="1">
      <protection locked="0"/>
    </xf>
    <xf numFmtId="0" fontId="18" fillId="10" borderId="2" xfId="0" applyFont="1" applyFill="1" applyBorder="1" applyProtection="1">
      <protection locked="0"/>
    </xf>
    <xf numFmtId="3" fontId="8" fillId="7" borderId="2" xfId="0" applyNumberFormat="1" applyFont="1" applyFill="1" applyBorder="1" applyAlignment="1" applyProtection="1">
      <alignment horizontal="right" vertical="center"/>
      <protection locked="0" hidden="1"/>
    </xf>
    <xf numFmtId="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4" fontId="12" fillId="9" borderId="3" xfId="0" applyNumberFormat="1" applyFont="1" applyFill="1" applyBorder="1" applyAlignment="1" applyProtection="1">
      <alignment horizontal="right" vertical="center"/>
      <protection locked="0" hidden="1"/>
    </xf>
    <xf numFmtId="0" fontId="13" fillId="8" borderId="4" xfId="0" applyFont="1" applyFill="1" applyBorder="1" applyAlignment="1" applyProtection="1">
      <alignment horizontal="center" vertical="center" wrapText="1"/>
      <protection locked="0" hidden="1"/>
    </xf>
    <xf numFmtId="49" fontId="9" fillId="5" borderId="2" xfId="0" applyNumberFormat="1" applyFont="1" applyFill="1" applyBorder="1" applyAlignment="1" applyProtection="1">
      <alignment horizontal="right" vertical="center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4" borderId="2" xfId="0" applyFont="1" applyFill="1" applyBorder="1" applyAlignment="1" applyProtection="1">
      <alignment horizontal="center" vertical="center" wrapText="1"/>
      <protection locked="0"/>
    </xf>
    <xf numFmtId="0" fontId="19" fillId="3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4" fillId="10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8" borderId="2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0" fontId="8" fillId="10" borderId="1" xfId="0" applyFont="1" applyFill="1" applyBorder="1" applyAlignment="1" applyProtection="1">
      <alignment horizontal="left" vertical="center" wrapText="1"/>
      <protection locked="0"/>
    </xf>
    <xf numFmtId="4" fontId="20" fillId="10" borderId="3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6.5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16.5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6.5" customHeight="1" x14ac:dyDescent="0.3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6.5" customHeight="1" x14ac:dyDescent="0.35">
      <c r="A6" s="7" t="s">
        <v>1</v>
      </c>
      <c r="B6" s="7"/>
      <c r="C6" s="7"/>
      <c r="D6" s="7"/>
      <c r="E6" s="7"/>
      <c r="F6" s="7"/>
      <c r="G6" s="7"/>
      <c r="H6" s="7"/>
      <c r="I6" s="7"/>
      <c r="J6" s="7"/>
    </row>
    <row r="7" spans="1:10" ht="16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" customHeight="1" x14ac:dyDescent="0.3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8.75" customHeight="1" x14ac:dyDescent="0.35">
      <c r="B9" s="6" t="s">
        <v>2</v>
      </c>
      <c r="C9" s="6"/>
      <c r="D9" s="6"/>
      <c r="E9" s="6" t="s">
        <v>3</v>
      </c>
      <c r="F9" s="6"/>
      <c r="G9" s="6"/>
      <c r="H9" s="6" t="s">
        <v>4</v>
      </c>
      <c r="I9" s="6"/>
      <c r="J9" s="6"/>
    </row>
    <row r="10" spans="1:10" ht="15" customHeight="1" x14ac:dyDescent="0.35">
      <c r="B10" s="5" t="s">
        <v>5</v>
      </c>
      <c r="C10" s="5"/>
      <c r="D10" s="5"/>
      <c r="E10" s="5" t="s">
        <v>6</v>
      </c>
      <c r="F10" s="5"/>
      <c r="G10" s="5"/>
      <c r="H10" s="5" t="s">
        <v>7</v>
      </c>
      <c r="I10" s="5"/>
      <c r="J10" s="5"/>
    </row>
    <row r="11" spans="1:10" ht="16.5" customHeight="1" x14ac:dyDescent="0.35"/>
    <row r="12" spans="1:10" ht="16.5" customHeight="1" x14ac:dyDescent="0.35"/>
    <row r="13" spans="1:10" ht="18.75" customHeight="1" x14ac:dyDescent="0.35">
      <c r="B13" s="6" t="s">
        <v>8</v>
      </c>
      <c r="C13" s="6"/>
      <c r="D13" s="6"/>
      <c r="E13" s="6" t="s">
        <v>9</v>
      </c>
      <c r="F13" s="6"/>
      <c r="G13" s="6"/>
      <c r="H13" s="6" t="s">
        <v>10</v>
      </c>
      <c r="I13" s="6"/>
      <c r="J13" s="6"/>
    </row>
    <row r="14" spans="1:10" ht="15" customHeight="1" x14ac:dyDescent="0.35">
      <c r="B14" s="5" t="s">
        <v>11</v>
      </c>
      <c r="C14" s="5"/>
      <c r="D14" s="5"/>
      <c r="E14" s="5" t="s">
        <v>12</v>
      </c>
      <c r="F14" s="5"/>
      <c r="G14" s="5"/>
      <c r="H14" s="5" t="s">
        <v>13</v>
      </c>
      <c r="I14" s="5"/>
      <c r="J14" s="5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rightToLeft="1" topLeftCell="A17" zoomScale="80" zoomScaleNormal="100" workbookViewId="0">
      <selection activeCell="A27" sqref="A27:F28"/>
    </sheetView>
  </sheetViews>
  <sheetFormatPr defaultColWidth="8.6328125" defaultRowHeight="14.5" x14ac:dyDescent="0.35"/>
  <cols>
    <col min="1" max="1" width="34" style="30" customWidth="1"/>
    <col min="2" max="2" width="20" style="30" customWidth="1"/>
    <col min="3" max="6" width="10" style="30" customWidth="1"/>
    <col min="7" max="16384" width="8.6328125" style="30"/>
  </cols>
  <sheetData>
    <row r="1" spans="1:6" ht="27.75" customHeight="1" x14ac:dyDescent="0.35">
      <c r="A1" s="29" t="s">
        <v>14</v>
      </c>
      <c r="B1" s="29"/>
      <c r="C1" s="29"/>
      <c r="D1" s="29"/>
      <c r="E1" s="29"/>
      <c r="F1" s="29"/>
    </row>
    <row r="2" spans="1:6" ht="15" customHeight="1" x14ac:dyDescent="0.35">
      <c r="A2" s="31" t="s">
        <v>15</v>
      </c>
      <c r="B2" s="31"/>
      <c r="C2" s="31"/>
      <c r="D2" s="31"/>
      <c r="E2" s="31"/>
      <c r="F2" s="31"/>
    </row>
    <row r="4" spans="1:6" ht="21.75" customHeight="1" x14ac:dyDescent="0.35">
      <c r="A4" s="32" t="s">
        <v>16</v>
      </c>
      <c r="B4" s="32"/>
      <c r="C4" s="32"/>
      <c r="D4" s="32"/>
      <c r="E4" s="32"/>
      <c r="F4" s="32"/>
    </row>
    <row r="5" spans="1:6" ht="16.5" customHeight="1" x14ac:dyDescent="0.35">
      <c r="A5" s="33" t="s">
        <v>17</v>
      </c>
      <c r="B5" s="34">
        <v>35</v>
      </c>
    </row>
    <row r="6" spans="1:6" ht="16.5" customHeight="1" x14ac:dyDescent="0.35">
      <c r="A6" s="33" t="s">
        <v>18</v>
      </c>
      <c r="B6" s="34">
        <v>4</v>
      </c>
    </row>
    <row r="7" spans="1:6" ht="16.5" customHeight="1" x14ac:dyDescent="0.35">
      <c r="A7" s="33" t="s">
        <v>19</v>
      </c>
      <c r="B7" s="34">
        <v>5</v>
      </c>
    </row>
    <row r="8" spans="1:6" ht="16.5" customHeight="1" x14ac:dyDescent="0.35">
      <c r="A8" s="33" t="s">
        <v>20</v>
      </c>
      <c r="B8" s="35">
        <v>18000</v>
      </c>
    </row>
    <row r="9" spans="1:6" ht="16.5" customHeight="1" x14ac:dyDescent="0.35">
      <c r="A9" s="33" t="s">
        <v>21</v>
      </c>
      <c r="B9" s="34">
        <v>20</v>
      </c>
    </row>
    <row r="10" spans="1:6" ht="21.75" customHeight="1" x14ac:dyDescent="0.35">
      <c r="A10" s="32" t="s">
        <v>22</v>
      </c>
      <c r="B10" s="32"/>
      <c r="C10" s="32"/>
      <c r="D10" s="32"/>
      <c r="E10" s="32"/>
      <c r="F10" s="32"/>
    </row>
    <row r="11" spans="1:6" ht="16.5" customHeight="1" x14ac:dyDescent="0.35">
      <c r="A11" s="33" t="s">
        <v>23</v>
      </c>
      <c r="B11" s="35">
        <v>350000</v>
      </c>
    </row>
    <row r="12" spans="1:6" ht="16.5" customHeight="1" x14ac:dyDescent="0.35">
      <c r="A12" s="33" t="s">
        <v>24</v>
      </c>
      <c r="B12" s="35">
        <v>200000</v>
      </c>
    </row>
    <row r="13" spans="1:6" ht="16.5" customHeight="1" x14ac:dyDescent="0.35">
      <c r="A13" s="33" t="s">
        <v>25</v>
      </c>
      <c r="B13" s="35">
        <v>25000</v>
      </c>
    </row>
    <row r="14" spans="1:6" ht="16.5" customHeight="1" x14ac:dyDescent="0.35">
      <c r="A14" s="33" t="s">
        <v>26</v>
      </c>
      <c r="B14" s="35">
        <v>48000</v>
      </c>
    </row>
    <row r="15" spans="1:6" ht="16.5" customHeight="1" x14ac:dyDescent="0.35">
      <c r="A15" s="33" t="s">
        <v>27</v>
      </c>
      <c r="B15" s="35">
        <v>144000</v>
      </c>
    </row>
    <row r="16" spans="1:6" ht="21.75" customHeight="1" x14ac:dyDescent="0.35">
      <c r="A16" s="32" t="s">
        <v>28</v>
      </c>
      <c r="B16" s="32"/>
      <c r="C16" s="32"/>
      <c r="D16" s="32"/>
      <c r="E16" s="32"/>
      <c r="F16" s="32"/>
    </row>
    <row r="17" spans="1:6" ht="16.5" customHeight="1" x14ac:dyDescent="0.35">
      <c r="A17" s="33" t="s">
        <v>29</v>
      </c>
      <c r="B17" s="35">
        <v>80000</v>
      </c>
    </row>
    <row r="18" spans="1:6" ht="16.5" customHeight="1" x14ac:dyDescent="0.35">
      <c r="A18" s="33" t="s">
        <v>30</v>
      </c>
      <c r="B18" s="35">
        <v>0</v>
      </c>
    </row>
    <row r="19" spans="1:6" ht="16.5" customHeight="1" x14ac:dyDescent="0.35">
      <c r="A19" s="33" t="s">
        <v>31</v>
      </c>
      <c r="B19" s="35">
        <v>0</v>
      </c>
    </row>
    <row r="20" spans="1:6" ht="21.75" customHeight="1" x14ac:dyDescent="0.35">
      <c r="A20" s="36" t="s">
        <v>32</v>
      </c>
      <c r="B20" s="36"/>
      <c r="C20" s="36"/>
      <c r="D20" s="36"/>
      <c r="E20" s="36"/>
      <c r="F20" s="36"/>
    </row>
    <row r="21" spans="1:6" ht="18" customHeight="1" x14ac:dyDescent="0.35">
      <c r="A21" s="37" t="s">
        <v>33</v>
      </c>
      <c r="B21" s="43">
        <f>B9*B8*12</f>
        <v>4320000</v>
      </c>
    </row>
    <row r="22" spans="1:6" ht="18" customHeight="1" x14ac:dyDescent="0.35">
      <c r="A22" s="37" t="s">
        <v>34</v>
      </c>
      <c r="B22" s="43">
        <f>SUM(B11:B15)</f>
        <v>767000</v>
      </c>
    </row>
    <row r="23" spans="1:6" ht="18" customHeight="1" x14ac:dyDescent="0.35">
      <c r="A23" s="37" t="s">
        <v>35</v>
      </c>
      <c r="B23" s="43">
        <f>B21+B22</f>
        <v>5087000</v>
      </c>
    </row>
    <row r="24" spans="1:6" ht="18" customHeight="1" x14ac:dyDescent="0.35">
      <c r="A24" s="37" t="s">
        <v>36</v>
      </c>
      <c r="B24" s="43">
        <f>SUM(B17:B19)</f>
        <v>80000</v>
      </c>
    </row>
    <row r="25" spans="1:6" ht="18" customHeight="1" x14ac:dyDescent="0.35">
      <c r="A25" s="37" t="s">
        <v>37</v>
      </c>
      <c r="B25" s="44">
        <f>B22-B23</f>
        <v>-4320000</v>
      </c>
    </row>
    <row r="26" spans="1:6" ht="18" customHeight="1" x14ac:dyDescent="0.35">
      <c r="A26" s="37" t="s">
        <v>38</v>
      </c>
      <c r="B26" s="45">
        <f>IF(B24&lt;=0,0,B24*0.002/12)</f>
        <v>13.333333333333334</v>
      </c>
    </row>
    <row r="27" spans="1:6" ht="25.5" customHeight="1" x14ac:dyDescent="0.35">
      <c r="A27" s="46" t="str">
        <f>IF(B25&lt;=0,"✅ تغطيتك كافية – ممتاز","⚠️ تحتاج تغطية إضافية بمبلغ "&amp;TEXT(B25,"#,##0")&amp;" ريال – تواصل مع شركة تأمين معتمدة")</f>
        <v>✅ تغطيتك كافية – ممتاز</v>
      </c>
      <c r="B27" s="46"/>
      <c r="C27" s="46"/>
      <c r="D27" s="46"/>
      <c r="E27" s="46"/>
      <c r="F27" s="46"/>
    </row>
    <row r="28" spans="1:6" ht="15" customHeight="1" x14ac:dyDescent="0.35">
      <c r="A28" s="46"/>
      <c r="B28" s="46"/>
      <c r="C28" s="46"/>
      <c r="D28" s="46"/>
      <c r="E28" s="46"/>
      <c r="F28" s="46"/>
    </row>
    <row r="30" spans="1:6" ht="15" customHeight="1" x14ac:dyDescent="0.35">
      <c r="A30" s="38" t="s">
        <v>39</v>
      </c>
    </row>
    <row r="31" spans="1:6" ht="12.75" customHeight="1" x14ac:dyDescent="0.35">
      <c r="A31" s="39" t="s">
        <v>40</v>
      </c>
    </row>
    <row r="32" spans="1:6" ht="12.75" customHeight="1" x14ac:dyDescent="0.35">
      <c r="A32" s="40" t="s">
        <v>41</v>
      </c>
    </row>
    <row r="33" spans="1:1" ht="12.75" customHeight="1" x14ac:dyDescent="0.35">
      <c r="A33" s="41" t="s">
        <v>42</v>
      </c>
    </row>
    <row r="34" spans="1:1" ht="12.75" customHeight="1" x14ac:dyDescent="0.35">
      <c r="A34" s="42" t="s">
        <v>43</v>
      </c>
    </row>
  </sheetData>
  <mergeCells count="7">
    <mergeCell ref="A20:F20"/>
    <mergeCell ref="A27:F28"/>
    <mergeCell ref="A1:F1"/>
    <mergeCell ref="A2:F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rightToLeft="1" zoomScaleNormal="100" workbookViewId="0">
      <selection activeCell="I9" sqref="I9"/>
    </sheetView>
  </sheetViews>
  <sheetFormatPr defaultColWidth="8.6328125" defaultRowHeight="14.5" x14ac:dyDescent="0.35"/>
  <cols>
    <col min="1" max="1" width="24" style="30" customWidth="1"/>
    <col min="2" max="5" width="16" style="30" customWidth="1"/>
    <col min="6" max="7" width="5" style="30" customWidth="1"/>
    <col min="8" max="16384" width="8.6328125" style="30"/>
  </cols>
  <sheetData>
    <row r="1" spans="1:7" ht="27.75" customHeight="1" x14ac:dyDescent="0.35">
      <c r="A1" s="29" t="s">
        <v>44</v>
      </c>
      <c r="B1" s="29"/>
      <c r="C1" s="29"/>
      <c r="D1" s="29"/>
      <c r="E1" s="29"/>
      <c r="F1" s="29"/>
      <c r="G1" s="29"/>
    </row>
    <row r="3" spans="1:7" ht="16.5" customHeight="1" x14ac:dyDescent="0.35">
      <c r="A3" s="33" t="s">
        <v>45</v>
      </c>
      <c r="B3" s="34">
        <v>4</v>
      </c>
      <c r="D3" s="33" t="s">
        <v>46</v>
      </c>
      <c r="E3" s="47" t="s">
        <v>47</v>
      </c>
    </row>
    <row r="5" spans="1:7" ht="19.5" customHeight="1" x14ac:dyDescent="0.35">
      <c r="A5" s="48" t="s">
        <v>48</v>
      </c>
      <c r="B5" s="49" t="s">
        <v>49</v>
      </c>
      <c r="C5" s="49" t="s">
        <v>50</v>
      </c>
      <c r="D5" s="49" t="s">
        <v>51</v>
      </c>
      <c r="E5" s="50" t="s">
        <v>52</v>
      </c>
    </row>
    <row r="6" spans="1:7" ht="16.5" customHeight="1" x14ac:dyDescent="0.35">
      <c r="A6" s="51" t="s">
        <v>53</v>
      </c>
      <c r="B6" s="35">
        <v>2400</v>
      </c>
      <c r="C6" s="35">
        <v>4800</v>
      </c>
      <c r="D6" s="35">
        <v>8400</v>
      </c>
      <c r="E6" s="35">
        <v>0</v>
      </c>
    </row>
    <row r="7" spans="1:7" ht="16.5" customHeight="1" x14ac:dyDescent="0.35">
      <c r="A7" s="33" t="s">
        <v>54</v>
      </c>
      <c r="B7" s="43">
        <f>B6*$B$3</f>
        <v>9600</v>
      </c>
      <c r="C7" s="43">
        <f>B6*$B$3</f>
        <v>9600</v>
      </c>
      <c r="D7" s="43">
        <f>B6*$B$3</f>
        <v>9600</v>
      </c>
      <c r="E7" s="35">
        <v>0</v>
      </c>
    </row>
    <row r="8" spans="1:7" ht="16.5" customHeight="1" x14ac:dyDescent="0.35">
      <c r="A8" s="51" t="s">
        <v>55</v>
      </c>
      <c r="B8" s="35">
        <v>500000</v>
      </c>
      <c r="C8" s="35">
        <v>1000000</v>
      </c>
      <c r="D8" s="35">
        <v>5000000</v>
      </c>
      <c r="E8" s="35">
        <v>0</v>
      </c>
    </row>
    <row r="9" spans="1:7" ht="16.5" customHeight="1" x14ac:dyDescent="0.35">
      <c r="A9" s="33" t="s">
        <v>56</v>
      </c>
      <c r="B9" s="35">
        <v>50</v>
      </c>
      <c r="C9" s="35">
        <v>30</v>
      </c>
      <c r="D9" s="35">
        <v>0</v>
      </c>
      <c r="E9" s="35">
        <v>0</v>
      </c>
    </row>
    <row r="10" spans="1:7" ht="16.5" customHeight="1" x14ac:dyDescent="0.35">
      <c r="A10" s="51" t="s">
        <v>57</v>
      </c>
      <c r="B10" s="52" t="s">
        <v>58</v>
      </c>
      <c r="C10" s="53" t="s">
        <v>59</v>
      </c>
      <c r="D10" s="54" t="s">
        <v>60</v>
      </c>
      <c r="E10" s="52" t="s">
        <v>58</v>
      </c>
    </row>
    <row r="11" spans="1:7" ht="16.5" customHeight="1" x14ac:dyDescent="0.35">
      <c r="A11" s="33" t="s">
        <v>61</v>
      </c>
      <c r="B11" s="52" t="s">
        <v>58</v>
      </c>
      <c r="C11" s="53" t="s">
        <v>59</v>
      </c>
      <c r="D11" s="54" t="s">
        <v>60</v>
      </c>
      <c r="E11" s="52" t="s">
        <v>58</v>
      </c>
    </row>
    <row r="12" spans="1:7" ht="16.5" customHeight="1" x14ac:dyDescent="0.35">
      <c r="A12" s="51" t="s">
        <v>62</v>
      </c>
      <c r="B12" s="52" t="s">
        <v>58</v>
      </c>
      <c r="C12" s="54" t="s">
        <v>63</v>
      </c>
      <c r="D12" s="54" t="s">
        <v>63</v>
      </c>
      <c r="E12" s="52" t="s">
        <v>58</v>
      </c>
    </row>
    <row r="13" spans="1:7" ht="16.5" customHeight="1" x14ac:dyDescent="0.35">
      <c r="A13" s="33" t="s">
        <v>64</v>
      </c>
      <c r="B13" s="52" t="s">
        <v>58</v>
      </c>
      <c r="C13" s="53" t="s">
        <v>65</v>
      </c>
      <c r="D13" s="54" t="s">
        <v>63</v>
      </c>
      <c r="E13" s="52" t="s">
        <v>58</v>
      </c>
    </row>
    <row r="14" spans="1:7" ht="16.5" customHeight="1" x14ac:dyDescent="0.35">
      <c r="A14" s="51" t="s">
        <v>66</v>
      </c>
      <c r="B14" s="52" t="s">
        <v>58</v>
      </c>
      <c r="C14" s="54" t="s">
        <v>63</v>
      </c>
      <c r="D14" s="54" t="s">
        <v>63</v>
      </c>
      <c r="E14" s="52" t="s">
        <v>58</v>
      </c>
    </row>
    <row r="15" spans="1:7" ht="16.5" customHeight="1" x14ac:dyDescent="0.35">
      <c r="A15" s="33" t="s">
        <v>67</v>
      </c>
      <c r="B15" s="52" t="s">
        <v>68</v>
      </c>
      <c r="C15" s="53" t="s">
        <v>69</v>
      </c>
      <c r="D15" s="54" t="s">
        <v>70</v>
      </c>
      <c r="E15" s="53"/>
    </row>
    <row r="17" spans="1:7" ht="15" customHeight="1" x14ac:dyDescent="0.35">
      <c r="A17" s="55" t="s">
        <v>71</v>
      </c>
      <c r="B17" s="55"/>
      <c r="C17" s="55"/>
      <c r="D17" s="55"/>
      <c r="E17" s="55"/>
      <c r="F17" s="55"/>
      <c r="G17" s="55"/>
    </row>
    <row r="19" spans="1:7" ht="15" customHeight="1" x14ac:dyDescent="0.35">
      <c r="A19" s="38" t="s">
        <v>39</v>
      </c>
    </row>
    <row r="20" spans="1:7" ht="12.75" customHeight="1" x14ac:dyDescent="0.35">
      <c r="A20" s="39" t="s">
        <v>40</v>
      </c>
    </row>
    <row r="21" spans="1:7" ht="12.75" customHeight="1" x14ac:dyDescent="0.35">
      <c r="A21" s="40" t="s">
        <v>41</v>
      </c>
    </row>
    <row r="22" spans="1:7" ht="12.75" customHeight="1" x14ac:dyDescent="0.35">
      <c r="A22" s="41" t="s">
        <v>42</v>
      </c>
    </row>
    <row r="23" spans="1:7" ht="12.75" customHeight="1" x14ac:dyDescent="0.35">
      <c r="A23" s="42" t="s">
        <v>43</v>
      </c>
    </row>
  </sheetData>
  <mergeCells count="2">
    <mergeCell ref="A1:G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rightToLeft="1" topLeftCell="A13" zoomScale="87" zoomScaleNormal="100" workbookViewId="0">
      <selection activeCell="A29" sqref="A29:B29"/>
    </sheetView>
  </sheetViews>
  <sheetFormatPr defaultColWidth="8.6328125" defaultRowHeight="14.5" x14ac:dyDescent="0.35"/>
  <cols>
    <col min="1" max="1" width="30" style="30" customWidth="1"/>
    <col min="2" max="2" width="20" style="30" customWidth="1"/>
    <col min="3" max="3" width="16" style="30" customWidth="1"/>
    <col min="4" max="5" width="10" style="30" customWidth="1"/>
    <col min="6" max="16384" width="8.6328125" style="30"/>
  </cols>
  <sheetData>
    <row r="1" spans="1:5" ht="27.75" customHeight="1" x14ac:dyDescent="0.35">
      <c r="A1" s="29" t="s">
        <v>72</v>
      </c>
      <c r="B1" s="29"/>
      <c r="C1" s="29"/>
      <c r="D1" s="29"/>
      <c r="E1" s="29"/>
    </row>
    <row r="2" spans="1:5" ht="15" customHeight="1" x14ac:dyDescent="0.35">
      <c r="A2" s="31" t="s">
        <v>73</v>
      </c>
      <c r="B2" s="31"/>
      <c r="C2" s="31"/>
      <c r="D2" s="31"/>
      <c r="E2" s="31"/>
    </row>
    <row r="4" spans="1:5" ht="21.75" customHeight="1" x14ac:dyDescent="0.35">
      <c r="A4" s="32" t="s">
        <v>74</v>
      </c>
      <c r="B4" s="32"/>
      <c r="C4" s="32"/>
      <c r="D4" s="32"/>
      <c r="E4" s="32"/>
    </row>
    <row r="5" spans="1:5" ht="16.5" customHeight="1" x14ac:dyDescent="0.35">
      <c r="A5" s="33" t="s">
        <v>75</v>
      </c>
      <c r="B5" s="35">
        <v>3000</v>
      </c>
    </row>
    <row r="6" spans="1:5" ht="16.5" customHeight="1" x14ac:dyDescent="0.35">
      <c r="A6" s="33" t="s">
        <v>76</v>
      </c>
      <c r="B6" s="35">
        <v>2000</v>
      </c>
    </row>
    <row r="7" spans="1:5" ht="16.5" customHeight="1" x14ac:dyDescent="0.35">
      <c r="A7" s="33" t="s">
        <v>77</v>
      </c>
      <c r="B7" s="35">
        <v>400</v>
      </c>
    </row>
    <row r="8" spans="1:5" ht="16.5" customHeight="1" x14ac:dyDescent="0.35">
      <c r="A8" s="33" t="s">
        <v>78</v>
      </c>
      <c r="B8" s="35">
        <v>1200</v>
      </c>
    </row>
    <row r="9" spans="1:5" ht="16.5" customHeight="1" x14ac:dyDescent="0.35">
      <c r="A9" s="33" t="s">
        <v>79</v>
      </c>
      <c r="B9" s="35">
        <v>1500</v>
      </c>
    </row>
    <row r="10" spans="1:5" ht="16.5" customHeight="1" x14ac:dyDescent="0.35">
      <c r="A10" s="33" t="s">
        <v>80</v>
      </c>
      <c r="B10" s="35">
        <v>300</v>
      </c>
    </row>
    <row r="11" spans="1:5" ht="16.5" customHeight="1" x14ac:dyDescent="0.35">
      <c r="A11" s="33" t="s">
        <v>81</v>
      </c>
      <c r="B11" s="35">
        <v>800</v>
      </c>
    </row>
    <row r="12" spans="1:5" ht="16.5" customHeight="1" x14ac:dyDescent="0.35">
      <c r="A12" s="33" t="s">
        <v>82</v>
      </c>
      <c r="B12" s="35">
        <v>500</v>
      </c>
    </row>
    <row r="13" spans="1:5" ht="19.5" customHeight="1" x14ac:dyDescent="0.35">
      <c r="A13" s="56" t="s">
        <v>83</v>
      </c>
      <c r="B13" s="44">
        <f>SUM(B5:B12)</f>
        <v>9700</v>
      </c>
    </row>
    <row r="15" spans="1:5" ht="21.75" customHeight="1" x14ac:dyDescent="0.35">
      <c r="A15" s="36" t="s">
        <v>84</v>
      </c>
      <c r="B15" s="36"/>
      <c r="C15" s="36"/>
      <c r="D15" s="36"/>
      <c r="E15" s="36"/>
    </row>
    <row r="16" spans="1:5" ht="16.5" customHeight="1" x14ac:dyDescent="0.35">
      <c r="A16" s="33" t="s">
        <v>85</v>
      </c>
      <c r="B16" s="47" t="s">
        <v>86</v>
      </c>
    </row>
    <row r="17" spans="1:5" ht="16.5" customHeight="1" x14ac:dyDescent="0.35">
      <c r="A17" s="33" t="s">
        <v>87</v>
      </c>
      <c r="B17" s="34">
        <v>4</v>
      </c>
    </row>
    <row r="18" spans="1:5" ht="16.5" customHeight="1" x14ac:dyDescent="0.35">
      <c r="A18" s="33" t="s">
        <v>88</v>
      </c>
      <c r="B18" s="34">
        <v>6</v>
      </c>
    </row>
    <row r="19" spans="1:5" ht="18" customHeight="1" x14ac:dyDescent="0.35">
      <c r="A19" s="37" t="s">
        <v>89</v>
      </c>
      <c r="B19" s="44">
        <f>B13*B18</f>
        <v>58200</v>
      </c>
    </row>
    <row r="20" spans="1:5" ht="18" customHeight="1" x14ac:dyDescent="0.35">
      <c r="A20" s="37" t="s">
        <v>90</v>
      </c>
      <c r="B20" s="35">
        <v>0</v>
      </c>
    </row>
    <row r="21" spans="1:5" ht="18" customHeight="1" x14ac:dyDescent="0.35">
      <c r="A21" s="37" t="s">
        <v>91</v>
      </c>
      <c r="B21" s="60">
        <f>B19-B20</f>
        <v>58200</v>
      </c>
    </row>
    <row r="22" spans="1:5" ht="18" customHeight="1" x14ac:dyDescent="0.35">
      <c r="A22" s="37" t="s">
        <v>92</v>
      </c>
      <c r="B22" s="60">
        <f>MAX(B20,0)/12</f>
        <v>0</v>
      </c>
    </row>
    <row r="23" spans="1:5" ht="18" customHeight="1" x14ac:dyDescent="0.35">
      <c r="A23" s="37" t="s">
        <v>93</v>
      </c>
      <c r="B23" s="60">
        <f>MAX(B20,0)/24</f>
        <v>0</v>
      </c>
    </row>
    <row r="25" spans="1:5" ht="21.75" customHeight="1" x14ac:dyDescent="0.35">
      <c r="A25" s="32" t="s">
        <v>94</v>
      </c>
      <c r="B25" s="32"/>
      <c r="C25" s="32"/>
      <c r="D25" s="32"/>
      <c r="E25" s="32"/>
    </row>
    <row r="26" spans="1:5" ht="16.5" customHeight="1" x14ac:dyDescent="0.35">
      <c r="A26" s="57" t="s">
        <v>95</v>
      </c>
      <c r="B26" s="57"/>
      <c r="C26" s="58" t="s">
        <v>96</v>
      </c>
      <c r="D26" s="58"/>
      <c r="E26" s="58"/>
    </row>
    <row r="27" spans="1:5" ht="16.5" customHeight="1" x14ac:dyDescent="0.35">
      <c r="A27" s="57" t="s">
        <v>97</v>
      </c>
      <c r="B27" s="57"/>
      <c r="C27" s="58" t="s">
        <v>98</v>
      </c>
      <c r="D27" s="58"/>
      <c r="E27" s="58"/>
    </row>
    <row r="28" spans="1:5" ht="16.5" customHeight="1" x14ac:dyDescent="0.35">
      <c r="A28" s="59" t="s">
        <v>99</v>
      </c>
      <c r="B28" s="59"/>
      <c r="C28" s="58" t="s">
        <v>100</v>
      </c>
      <c r="D28" s="58"/>
      <c r="E28" s="58"/>
    </row>
    <row r="29" spans="1:5" ht="16.5" customHeight="1" x14ac:dyDescent="0.35">
      <c r="A29" s="59" t="s">
        <v>101</v>
      </c>
      <c r="B29" s="59"/>
      <c r="C29" s="58" t="s">
        <v>102</v>
      </c>
      <c r="D29" s="58"/>
      <c r="E29" s="58"/>
    </row>
    <row r="31" spans="1:5" ht="15" customHeight="1" x14ac:dyDescent="0.35">
      <c r="A31" s="38" t="s">
        <v>39</v>
      </c>
    </row>
    <row r="32" spans="1:5" ht="12.75" customHeight="1" x14ac:dyDescent="0.35">
      <c r="A32" s="39" t="s">
        <v>40</v>
      </c>
    </row>
    <row r="33" spans="1:1" ht="12.75" customHeight="1" x14ac:dyDescent="0.35">
      <c r="A33" s="40" t="s">
        <v>41</v>
      </c>
    </row>
    <row r="34" spans="1:1" ht="12.75" customHeight="1" x14ac:dyDescent="0.35">
      <c r="A34" s="41" t="s">
        <v>42</v>
      </c>
    </row>
    <row r="35" spans="1:1" ht="12.75" customHeight="1" x14ac:dyDescent="0.35">
      <c r="A35" s="42" t="s">
        <v>43</v>
      </c>
    </row>
  </sheetData>
  <mergeCells count="13">
    <mergeCell ref="A29:B29"/>
    <mergeCell ref="C29:E29"/>
    <mergeCell ref="A26:B26"/>
    <mergeCell ref="C26:E26"/>
    <mergeCell ref="A27:B27"/>
    <mergeCell ref="C27:E27"/>
    <mergeCell ref="A28:B28"/>
    <mergeCell ref="C28:E28"/>
    <mergeCell ref="A1:E1"/>
    <mergeCell ref="A2:E2"/>
    <mergeCell ref="A4:E4"/>
    <mergeCell ref="A15:E15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rightToLeft="1" zoomScale="85" zoomScaleNormal="100" workbookViewId="0">
      <selection sqref="A1:F1"/>
    </sheetView>
  </sheetViews>
  <sheetFormatPr defaultColWidth="8.6328125" defaultRowHeight="14.5" x14ac:dyDescent="0.35"/>
  <cols>
    <col min="1" max="1" width="28" customWidth="1"/>
    <col min="2" max="2" width="12" customWidth="1"/>
    <col min="3" max="4" width="22" customWidth="1"/>
    <col min="5" max="5" width="14" customWidth="1"/>
    <col min="6" max="6" width="5" customWidth="1"/>
  </cols>
  <sheetData>
    <row r="1" spans="1:6" ht="27.75" customHeight="1" x14ac:dyDescent="0.35">
      <c r="A1" s="4" t="s">
        <v>103</v>
      </c>
      <c r="B1" s="4"/>
      <c r="C1" s="4"/>
      <c r="D1" s="4"/>
      <c r="E1" s="4"/>
      <c r="F1" s="4"/>
    </row>
    <row r="3" spans="1:6" ht="21.75" customHeight="1" x14ac:dyDescent="0.35">
      <c r="A3" s="3" t="s">
        <v>104</v>
      </c>
      <c r="B3" s="3"/>
      <c r="C3" s="3"/>
      <c r="D3" s="3"/>
      <c r="E3" s="3"/>
      <c r="F3" s="3"/>
    </row>
    <row r="4" spans="1:6" ht="16.5" customHeight="1" x14ac:dyDescent="0.35">
      <c r="A4" s="10" t="s">
        <v>105</v>
      </c>
      <c r="B4" s="19" t="s">
        <v>106</v>
      </c>
    </row>
    <row r="5" spans="1:6" ht="16.5" customHeight="1" x14ac:dyDescent="0.35">
      <c r="A5" s="10" t="s">
        <v>107</v>
      </c>
      <c r="B5" s="11">
        <v>500000</v>
      </c>
    </row>
    <row r="6" spans="1:6" ht="16.5" customHeight="1" x14ac:dyDescent="0.35">
      <c r="A6" s="10" t="s">
        <v>108</v>
      </c>
      <c r="B6" s="11">
        <v>150000</v>
      </c>
    </row>
    <row r="7" spans="1:6" ht="16.5" customHeight="1" x14ac:dyDescent="0.35">
      <c r="A7" s="10" t="s">
        <v>109</v>
      </c>
      <c r="B7" s="11">
        <v>10</v>
      </c>
    </row>
    <row r="8" spans="1:6" ht="16.5" customHeight="1" x14ac:dyDescent="0.35">
      <c r="A8" s="10" t="s">
        <v>110</v>
      </c>
      <c r="B8" s="11">
        <v>1200000</v>
      </c>
    </row>
    <row r="10" spans="1:6" ht="21.75" customHeight="1" x14ac:dyDescent="0.35">
      <c r="A10" s="3" t="s">
        <v>111</v>
      </c>
      <c r="B10" s="3"/>
      <c r="C10" s="3"/>
      <c r="D10" s="3"/>
      <c r="E10" s="3"/>
      <c r="F10" s="3"/>
    </row>
    <row r="11" spans="1:6" ht="19.5" customHeight="1" x14ac:dyDescent="0.35">
      <c r="A11" s="20" t="s">
        <v>112</v>
      </c>
      <c r="B11" s="20" t="s">
        <v>113</v>
      </c>
      <c r="C11" s="20" t="s">
        <v>114</v>
      </c>
      <c r="D11" s="20" t="s">
        <v>115</v>
      </c>
      <c r="E11" s="2" t="s">
        <v>116</v>
      </c>
      <c r="F11" s="2"/>
    </row>
    <row r="12" spans="1:6" ht="16.5" customHeight="1" x14ac:dyDescent="0.35">
      <c r="A12" s="10" t="s">
        <v>117</v>
      </c>
      <c r="B12" s="23" t="s">
        <v>118</v>
      </c>
      <c r="C12" s="11">
        <v>500000</v>
      </c>
      <c r="D12" s="12">
        <f>C12*0.003</f>
        <v>1500</v>
      </c>
      <c r="E12" s="1" t="s">
        <v>119</v>
      </c>
      <c r="F12" s="1"/>
    </row>
    <row r="13" spans="1:6" ht="16.5" customHeight="1" x14ac:dyDescent="0.35">
      <c r="A13" s="10" t="s">
        <v>120</v>
      </c>
      <c r="B13" s="23" t="s">
        <v>118</v>
      </c>
      <c r="C13" s="11">
        <v>1000000</v>
      </c>
      <c r="D13" s="12">
        <f>C13*0.002</f>
        <v>2000</v>
      </c>
      <c r="E13" s="1" t="s">
        <v>119</v>
      </c>
      <c r="F13" s="1"/>
    </row>
    <row r="14" spans="1:6" ht="16.5" customHeight="1" x14ac:dyDescent="0.35">
      <c r="A14" s="10" t="s">
        <v>121</v>
      </c>
      <c r="B14" s="23" t="s">
        <v>118</v>
      </c>
      <c r="C14" s="24" t="s">
        <v>122</v>
      </c>
      <c r="D14" s="12">
        <f>IFERROR(B4*500,0)</f>
        <v>0</v>
      </c>
      <c r="E14" s="27" t="s">
        <v>123</v>
      </c>
      <c r="F14" s="27"/>
    </row>
    <row r="15" spans="1:6" ht="16.5" customHeight="1" x14ac:dyDescent="0.35">
      <c r="A15" s="10" t="s">
        <v>124</v>
      </c>
      <c r="B15" s="21" t="s">
        <v>125</v>
      </c>
      <c r="C15" s="11">
        <v>150000</v>
      </c>
      <c r="D15" s="12">
        <f>C15*0.004</f>
        <v>600</v>
      </c>
      <c r="E15" s="1" t="s">
        <v>126</v>
      </c>
      <c r="F15" s="1"/>
    </row>
    <row r="16" spans="1:6" ht="16.5" customHeight="1" x14ac:dyDescent="0.35">
      <c r="A16" s="10" t="s">
        <v>127</v>
      </c>
      <c r="B16" s="21" t="s">
        <v>125</v>
      </c>
      <c r="C16" s="11">
        <v>200000</v>
      </c>
      <c r="D16" s="12">
        <f>C16*0.005</f>
        <v>1000</v>
      </c>
      <c r="E16" s="27" t="s">
        <v>69</v>
      </c>
      <c r="F16" s="27"/>
    </row>
    <row r="17" spans="1:6" ht="16.5" customHeight="1" x14ac:dyDescent="0.35">
      <c r="A17" s="10" t="s">
        <v>128</v>
      </c>
      <c r="B17" s="24" t="s">
        <v>129</v>
      </c>
      <c r="C17" s="11">
        <v>0</v>
      </c>
      <c r="D17" s="12">
        <f>C17*0.03</f>
        <v>0</v>
      </c>
      <c r="E17" s="27" t="s">
        <v>129</v>
      </c>
      <c r="F17" s="27"/>
    </row>
    <row r="18" spans="1:6" ht="16.5" customHeight="1" x14ac:dyDescent="0.35">
      <c r="A18" s="10" t="s">
        <v>130</v>
      </c>
      <c r="B18" s="24" t="s">
        <v>129</v>
      </c>
      <c r="C18" s="11">
        <v>80000</v>
      </c>
      <c r="D18" s="12">
        <f>C18*0.015</f>
        <v>1200</v>
      </c>
      <c r="E18" s="27" t="s">
        <v>69</v>
      </c>
      <c r="F18" s="27"/>
    </row>
    <row r="19" spans="1:6" ht="19.5" customHeight="1" x14ac:dyDescent="0.35">
      <c r="A19" s="28" t="s">
        <v>131</v>
      </c>
      <c r="B19" s="28"/>
      <c r="C19" s="28"/>
      <c r="D19" s="13">
        <f>IFERROR(C19*0.03,0)</f>
        <v>0</v>
      </c>
    </row>
    <row r="21" spans="1:6" ht="15" customHeight="1" x14ac:dyDescent="0.35">
      <c r="A21" s="14" t="s">
        <v>39</v>
      </c>
    </row>
    <row r="22" spans="1:6" ht="12.75" customHeight="1" x14ac:dyDescent="0.35">
      <c r="A22" s="15" t="s">
        <v>40</v>
      </c>
    </row>
    <row r="23" spans="1:6" ht="12.75" customHeight="1" x14ac:dyDescent="0.35">
      <c r="A23" s="16" t="s">
        <v>41</v>
      </c>
    </row>
    <row r="24" spans="1:6" ht="12.75" customHeight="1" x14ac:dyDescent="0.35">
      <c r="A24" s="17" t="s">
        <v>42</v>
      </c>
    </row>
    <row r="25" spans="1:6" ht="12.75" customHeight="1" x14ac:dyDescent="0.35">
      <c r="A25" s="18" t="s">
        <v>43</v>
      </c>
    </row>
  </sheetData>
  <mergeCells count="12">
    <mergeCell ref="E18:F18"/>
    <mergeCell ref="A19:C19"/>
    <mergeCell ref="E13:F13"/>
    <mergeCell ref="E14:F14"/>
    <mergeCell ref="E15:F15"/>
    <mergeCell ref="E16:F16"/>
    <mergeCell ref="E17:F17"/>
    <mergeCell ref="A1:F1"/>
    <mergeCell ref="A3:F3"/>
    <mergeCell ref="A10:F10"/>
    <mergeCell ref="E11:F11"/>
    <mergeCell ref="E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rightToLeft="1" tabSelected="1" zoomScaleNormal="100" workbookViewId="0">
      <selection activeCell="I15" sqref="I15"/>
    </sheetView>
  </sheetViews>
  <sheetFormatPr defaultColWidth="8.6328125" defaultRowHeight="14.5" x14ac:dyDescent="0.35"/>
  <cols>
    <col min="1" max="1" width="24" customWidth="1"/>
    <col min="2" max="3" width="18" customWidth="1"/>
    <col min="4" max="4" width="16" customWidth="1"/>
    <col min="5" max="5" width="14" customWidth="1"/>
    <col min="6" max="6" width="16" customWidth="1"/>
  </cols>
  <sheetData>
    <row r="1" spans="1:6" ht="27.75" customHeight="1" x14ac:dyDescent="0.35">
      <c r="A1" s="4" t="s">
        <v>132</v>
      </c>
      <c r="B1" s="4"/>
      <c r="C1" s="4"/>
      <c r="D1" s="4"/>
      <c r="E1" s="4"/>
      <c r="F1" s="4"/>
    </row>
    <row r="3" spans="1:6" ht="19.5" customHeight="1" x14ac:dyDescent="0.35">
      <c r="A3" s="20" t="s">
        <v>133</v>
      </c>
      <c r="B3" s="20" t="s">
        <v>134</v>
      </c>
      <c r="C3" s="20" t="s">
        <v>135</v>
      </c>
      <c r="D3" s="20" t="s">
        <v>136</v>
      </c>
      <c r="E3" s="20" t="s">
        <v>137</v>
      </c>
      <c r="F3" s="20" t="s">
        <v>138</v>
      </c>
    </row>
    <row r="4" spans="1:6" ht="16.5" customHeight="1" x14ac:dyDescent="0.35">
      <c r="A4" s="21" t="s">
        <v>139</v>
      </c>
      <c r="B4" s="11">
        <v>2000000</v>
      </c>
      <c r="C4" s="11">
        <v>0</v>
      </c>
      <c r="D4" s="12">
        <f t="shared" ref="D4:D10" si="0">MAX(B4-C4,0)</f>
        <v>2000000</v>
      </c>
      <c r="E4" s="25">
        <f t="shared" ref="E4:E10" si="1">IF(B4=0,1,MIN(C4/B4,1))</f>
        <v>0</v>
      </c>
      <c r="F4" s="26" t="str">
        <f t="shared" ref="F4:F10" si="2">IF(E4=1,"✅ مكتمل",IF(E4&gt;=0.5,"⚠️ جزئي",IF(C4=0,"❌ غير مؤمَّن","🔴 ناقص")))</f>
        <v>❌ غير مؤمَّن</v>
      </c>
    </row>
    <row r="5" spans="1:6" ht="16.5" customHeight="1" x14ac:dyDescent="0.35">
      <c r="A5" s="10" t="s">
        <v>80</v>
      </c>
      <c r="B5" s="11">
        <v>500000</v>
      </c>
      <c r="C5" s="11">
        <v>0</v>
      </c>
      <c r="D5" s="12">
        <f t="shared" si="0"/>
        <v>500000</v>
      </c>
      <c r="E5" s="25">
        <f t="shared" si="1"/>
        <v>0</v>
      </c>
      <c r="F5" s="26" t="str">
        <f t="shared" si="2"/>
        <v>❌ غير مؤمَّن</v>
      </c>
    </row>
    <row r="6" spans="1:6" ht="16.5" customHeight="1" x14ac:dyDescent="0.35">
      <c r="A6" s="21" t="s">
        <v>140</v>
      </c>
      <c r="B6" s="11">
        <v>300000</v>
      </c>
      <c r="C6" s="11">
        <v>0</v>
      </c>
      <c r="D6" s="12">
        <f t="shared" si="0"/>
        <v>300000</v>
      </c>
      <c r="E6" s="25">
        <f t="shared" si="1"/>
        <v>0</v>
      </c>
      <c r="F6" s="26" t="str">
        <f t="shared" si="2"/>
        <v>❌ غير مؤمَّن</v>
      </c>
    </row>
    <row r="7" spans="1:6" ht="16.5" customHeight="1" x14ac:dyDescent="0.35">
      <c r="A7" s="10" t="s">
        <v>141</v>
      </c>
      <c r="B7" s="11">
        <v>108000</v>
      </c>
      <c r="C7" s="11">
        <v>0</v>
      </c>
      <c r="D7" s="12">
        <f t="shared" si="0"/>
        <v>108000</v>
      </c>
      <c r="E7" s="25">
        <f t="shared" si="1"/>
        <v>0</v>
      </c>
      <c r="F7" s="26" t="str">
        <f t="shared" si="2"/>
        <v>❌ غير مؤمَّن</v>
      </c>
    </row>
    <row r="8" spans="1:6" ht="16.5" customHeight="1" x14ac:dyDescent="0.35">
      <c r="A8" s="21" t="s">
        <v>142</v>
      </c>
      <c r="B8" s="11">
        <v>500000</v>
      </c>
      <c r="C8" s="11">
        <v>0</v>
      </c>
      <c r="D8" s="12">
        <f t="shared" si="0"/>
        <v>500000</v>
      </c>
      <c r="E8" s="25">
        <f t="shared" si="1"/>
        <v>0</v>
      </c>
      <c r="F8" s="26" t="str">
        <f t="shared" si="2"/>
        <v>❌ غير مؤمَّن</v>
      </c>
    </row>
    <row r="9" spans="1:6" ht="16.5" customHeight="1" x14ac:dyDescent="0.35">
      <c r="A9" s="10" t="s">
        <v>143</v>
      </c>
      <c r="B9" s="11">
        <v>150000</v>
      </c>
      <c r="C9" s="11">
        <v>0</v>
      </c>
      <c r="D9" s="12">
        <f t="shared" si="0"/>
        <v>150000</v>
      </c>
      <c r="E9" s="25">
        <f t="shared" si="1"/>
        <v>0</v>
      </c>
      <c r="F9" s="26" t="str">
        <f t="shared" si="2"/>
        <v>❌ غير مؤمَّن</v>
      </c>
    </row>
    <row r="10" spans="1:6" ht="16.5" customHeight="1" x14ac:dyDescent="0.35">
      <c r="A10" s="21" t="s">
        <v>144</v>
      </c>
      <c r="B10" s="11">
        <v>1000000</v>
      </c>
      <c r="C10" s="11">
        <v>0</v>
      </c>
      <c r="D10" s="12">
        <f t="shared" si="0"/>
        <v>1000000</v>
      </c>
      <c r="E10" s="25">
        <f t="shared" si="1"/>
        <v>0</v>
      </c>
      <c r="F10" s="26" t="str">
        <f t="shared" si="2"/>
        <v>❌ غير مؤمَّن</v>
      </c>
    </row>
    <row r="11" spans="1:6" ht="19.5" customHeight="1" x14ac:dyDescent="0.35">
      <c r="A11" s="28" t="s">
        <v>145</v>
      </c>
      <c r="B11" s="28"/>
      <c r="C11" s="28"/>
      <c r="D11" s="22">
        <f>SUM(D4:D10)</f>
        <v>4558000</v>
      </c>
    </row>
    <row r="13" spans="1:6" ht="15" customHeight="1" x14ac:dyDescent="0.35">
      <c r="A13" s="14" t="s">
        <v>39</v>
      </c>
    </row>
    <row r="14" spans="1:6" ht="12.75" customHeight="1" x14ac:dyDescent="0.35">
      <c r="A14" s="15" t="s">
        <v>40</v>
      </c>
    </row>
    <row r="15" spans="1:6" ht="12.75" customHeight="1" x14ac:dyDescent="0.35">
      <c r="A15" s="16" t="s">
        <v>41</v>
      </c>
    </row>
    <row r="16" spans="1:6" ht="12.75" customHeight="1" x14ac:dyDescent="0.35">
      <c r="A16" s="17" t="s">
        <v>42</v>
      </c>
    </row>
    <row r="17" spans="1:1" ht="12.75" customHeight="1" x14ac:dyDescent="0.35">
      <c r="A17" s="18" t="s">
        <v>43</v>
      </c>
    </row>
  </sheetData>
  <mergeCells count="2">
    <mergeCell ref="A1:F1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تأمين الحياة</vt:lpstr>
      <vt:lpstr>مقارنة التأمين الصحي</vt:lpstr>
      <vt:lpstr>صندوق الطوارئ</vt:lpstr>
      <vt:lpstr>تأمين الأعمال</vt:lpstr>
      <vt:lpstr>تحليل فجوة التغطية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2026-06-11T22:05:02Z</dcterms:created>
  <dcterms:modified xsi:type="dcterms:W3CDTF">2026-06-13T16:58:13Z</dcterms:modified>
  <dc:language>en-US</dc:language>
</cp:coreProperties>
</file>