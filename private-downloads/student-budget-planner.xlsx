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غلاف" sheetId="1" state="visible" r:id="rId3"/>
    <sheet name="الميزانية الطلابية" sheetId="2" state="visible" r:id="rId4"/>
    <sheet name="تكلفة الدراسة" sheetId="3" state="visible" r:id="rId5"/>
    <sheet name="مقارنة المنح" sheetId="4" state="visible" r:id="rId6"/>
    <sheet name="ميزانية الابتعاث" sheetId="5" state="visible" r:id="rId7"/>
    <sheet name="خطة ادخار الدراسة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<sst xmlns="http://schemas.openxmlformats.org/spreadsheetml/2006/main" count="175" uniqueCount="129">
  <si>
    <t xml:space="preserve">مخطط الميزانية الطلابية والمنح الدراسية</t>
  </si>
  <si>
    <t xml:space="preserve">للطلاب وأسرهم – خطط مصاريف الدراسة وقارن المنح وادّر مكافأتك</t>
  </si>
  <si>
    <t xml:space="preserve">💰 ميزانية الطالب</t>
  </si>
  <si>
    <t xml:space="preserve">🎓 تكلفة الدراسة</t>
  </si>
  <si>
    <t xml:space="preserve">🏆 مقارنة المنح</t>
  </si>
  <si>
    <t xml:space="preserve">مصروفك الشهري</t>
  </si>
  <si>
    <t xml:space="preserve">رسوم وكتب وسكن</t>
  </si>
  <si>
    <t xml:space="preserve">أيها أفضل لك؟</t>
  </si>
  <si>
    <t xml:space="preserve">📊 المكافأة</t>
  </si>
  <si>
    <t xml:space="preserve">✈️ الابتعاث</t>
  </si>
  <si>
    <t xml:space="preserve">📅 خطة الادخار</t>
  </si>
  <si>
    <t xml:space="preserve">إدارة مكافأتك الجامعية</t>
  </si>
  <si>
    <t xml:space="preserve">ميزانية الدراسة بالخارج</t>
  </si>
  <si>
    <t xml:space="preserve">ادّخر لدراستك</t>
  </si>
  <si>
    <t xml:space="preserve">الميزانية الشهرية للطالب</t>
  </si>
  <si>
    <t xml:space="preserve">الدخل الشهري</t>
  </si>
  <si>
    <t xml:space="preserve">المصاريف الشهرية</t>
  </si>
  <si>
    <t xml:space="preserve">المكافأة الجامعية (ريال)</t>
  </si>
  <si>
    <t xml:space="preserve">السكن/الإيجار (ريال)</t>
  </si>
  <si>
    <t xml:space="preserve">مصروف من الأهل (ريال)</t>
  </si>
  <si>
    <t xml:space="preserve">المواصلات والوقود (ريال)</t>
  </si>
  <si>
    <t xml:space="preserve">عمل جزئي/حر (ريال)</t>
  </si>
  <si>
    <t xml:space="preserve">الطعام والمشتريات (ريال)</t>
  </si>
  <si>
    <t xml:space="preserve">منحة/دعم إضافي (ريال)</t>
  </si>
  <si>
    <t xml:space="preserve">الكتب والقرطاسية (ريال)</t>
  </si>
  <si>
    <t xml:space="preserve">إجمالي الدخل</t>
  </si>
  <si>
    <t xml:space="preserve">الإنترنت والاتصالات (ريال)</t>
  </si>
  <si>
    <t xml:space="preserve">الترفيه والأنشطة (ريال)</t>
  </si>
  <si>
    <t xml:space="preserve">مصاريف أخرى (ريال)</t>
  </si>
  <si>
    <t xml:space="preserve">إجمالي المصاريف</t>
  </si>
  <si>
    <t xml:space="preserve">⭐ الملخص</t>
  </si>
  <si>
    <t xml:space="preserve">الفائض/العجز الشهري (ريال)</t>
  </si>
  <si>
    <t xml:space="preserve">نسبة الادخار %</t>
  </si>
  <si>
    <t xml:space="preserve"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</si>
  <si>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</si>
  <si>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</si>
  <si>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</si>
  <si>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</si>
  <si>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 xml:space="preserve">حاسبة التكلفة الكلية للدراسة الجامعية</t>
  </si>
  <si>
    <t xml:space="preserve">عدد سنوات الدراسة</t>
  </si>
  <si>
    <t xml:space="preserve">نوع الجامعة</t>
  </si>
  <si>
    <t xml:space="preserve">حكومية/خاصة</t>
  </si>
  <si>
    <t xml:space="preserve">التكاليف السنوية</t>
  </si>
  <si>
    <t xml:space="preserve">البند</t>
  </si>
  <si>
    <t xml:space="preserve">سنوياً (ريال)</t>
  </si>
  <si>
    <t xml:space="preserve">لكامل الدراسة (ريال)</t>
  </si>
  <si>
    <t xml:space="preserve">ملاحظات</t>
  </si>
  <si>
    <t xml:space="preserve">الرسوم الدراسية</t>
  </si>
  <si>
    <t xml:space="preserve">مجانية في الجامعات الحكومية</t>
  </si>
  <si>
    <t xml:space="preserve">الكتب والمراجع</t>
  </si>
  <si>
    <t xml:space="preserve">السكن الجامعي</t>
  </si>
  <si>
    <t xml:space="preserve">إن لزم</t>
  </si>
  <si>
    <t xml:space="preserve">المواصلات</t>
  </si>
  <si>
    <t xml:space="preserve">الطعام والمعيشة</t>
  </si>
  <si>
    <t xml:space="preserve">الأجهزة والتقنية</t>
  </si>
  <si>
    <t xml:space="preserve">موزعة على السنوات</t>
  </si>
  <si>
    <t xml:space="preserve">أنشطة ودورات إضافية</t>
  </si>
  <si>
    <t xml:space="preserve">الإجمالي</t>
  </si>
  <si>
    <t xml:space="preserve">مقارنة المنح والفرص الدراسية</t>
  </si>
  <si>
    <t xml:space="preserve">المنحة/الجهة</t>
  </si>
  <si>
    <t xml:space="preserve">التغطية الدراسية</t>
  </si>
  <si>
    <t xml:space="preserve">مكافأة شهرية (ريال)</t>
  </si>
  <si>
    <t xml:space="preserve">السكن</t>
  </si>
  <si>
    <t xml:space="preserve">تذاكر سفر</t>
  </si>
  <si>
    <t xml:space="preserve">تأمين صحي</t>
  </si>
  <si>
    <t xml:space="preserve">الشروط</t>
  </si>
  <si>
    <t xml:space="preserve">التقييم /10</t>
  </si>
  <si>
    <t xml:space="preserve">منحة 1</t>
  </si>
  <si>
    <t xml:space="preserve">كاملة</t>
  </si>
  <si>
    <t xml:space="preserve">نعم</t>
  </si>
  <si>
    <t xml:space="preserve">منحة 2</t>
  </si>
  <si>
    <t xml:space="preserve">منحة 3</t>
  </si>
  <si>
    <t xml:space="preserve">منحة 4</t>
  </si>
  <si>
    <t xml:space="preserve">منحة 5</t>
  </si>
  <si>
    <t xml:space="preserve">منحة 6</t>
  </si>
  <si>
    <t xml:space="preserve">ميزانية الدراسة بالخارج (الابتعاث)</t>
  </si>
  <si>
    <t xml:space="preserve">دولة الابتعاث</t>
  </si>
  <si>
    <t xml:space="preserve">العملة وسعر الصرف للريال</t>
  </si>
  <si>
    <t xml:space="preserve">التكاليف الشهرية بالخارج</t>
  </si>
  <si>
    <t xml:space="preserve">بالعملة المحلية</t>
  </si>
  <si>
    <t xml:space="preserve">بالريال السعودي</t>
  </si>
  <si>
    <t xml:space="preserve">الطعام</t>
  </si>
  <si>
    <t xml:space="preserve">التأمين الصحي</t>
  </si>
  <si>
    <t xml:space="preserve">الكتب والدراسة</t>
  </si>
  <si>
    <t xml:space="preserve">الاتصالات</t>
  </si>
  <si>
    <t xml:space="preserve">نفقات شخصية</t>
  </si>
  <si>
    <t xml:space="preserve">الإجمالي الشهري</t>
  </si>
  <si>
    <t xml:space="preserve">التكاليف لمرة واحدة</t>
  </si>
  <si>
    <t xml:space="preserve">تذكرة السفر ذهاب وعودة (ريال)</t>
  </si>
  <si>
    <t xml:space="preserve">تأشيرة وإجراءات (ريال)</t>
  </si>
  <si>
    <t xml:space="preserve">تأسيس السكن (ريال)</t>
  </si>
  <si>
    <t xml:space="preserve">أجهزة ومستلزمات (ريال)</t>
  </si>
  <si>
    <t xml:space="preserve">إجمالي التكاليف لمرة واحدة</t>
  </si>
  <si>
    <t xml:space="preserve">خطة الادخار لتمويل الدراسة</t>
  </si>
  <si>
    <t xml:space="preserve">هدف الادخار</t>
  </si>
  <si>
    <t xml:space="preserve">التكلفة المستهدفة (ريال)</t>
  </si>
  <si>
    <t xml:space="preserve">المتوفر حالياً (ريال)</t>
  </si>
  <si>
    <t xml:space="preserve">عدد الأشهر حتى البدء</t>
  </si>
  <si>
    <t xml:space="preserve">⭐ الادخار الشهري المطلوب (ريال)</t>
  </si>
  <si>
    <t xml:space="preserve">جدول متابعة الادخار (24 شهراً)</t>
  </si>
  <si>
    <t xml:space="preserve">الشهر</t>
  </si>
  <si>
    <t xml:space="preserve">المدخر (ريال)</t>
  </si>
  <si>
    <t xml:space="preserve">التراكمي (ريال)</t>
  </si>
  <si>
    <t xml:space="preserve">المتبقي (ريال)</t>
  </si>
  <si>
    <t xml:space="preserve">الإنجاز %</t>
  </si>
  <si>
    <t xml:space="preserve">شهر 1</t>
  </si>
  <si>
    <t xml:space="preserve">شهر 2</t>
  </si>
  <si>
    <t xml:space="preserve">شهر 3</t>
  </si>
  <si>
    <t xml:space="preserve">شهر 4</t>
  </si>
  <si>
    <t xml:space="preserve">شهر 5</t>
  </si>
  <si>
    <t xml:space="preserve">شهر 6</t>
  </si>
  <si>
    <t xml:space="preserve">شهر 7</t>
  </si>
  <si>
    <t xml:space="preserve">شهر 8</t>
  </si>
  <si>
    <t xml:space="preserve">شهر 9</t>
  </si>
  <si>
    <t xml:space="preserve">شهر 10</t>
  </si>
  <si>
    <t xml:space="preserve">شهر 11</t>
  </si>
  <si>
    <t xml:space="preserve">شهر 12</t>
  </si>
  <si>
    <t xml:space="preserve">شهر 13</t>
  </si>
  <si>
    <t xml:space="preserve">شهر 14</t>
  </si>
  <si>
    <t xml:space="preserve">شهر 15</t>
  </si>
  <si>
    <t xml:space="preserve">شهر 16</t>
  </si>
  <si>
    <t xml:space="preserve">شهر 17</t>
  </si>
  <si>
    <t xml:space="preserve">شهر 18</t>
  </si>
  <si>
    <t xml:space="preserve">شهر 19</t>
  </si>
  <si>
    <t xml:space="preserve">شهر 20</t>
  </si>
  <si>
    <t xml:space="preserve">شهر 21</t>
  </si>
  <si>
    <t xml:space="preserve">شهر 22</t>
  </si>
  <si>
    <t xml:space="preserve">شهر 23</t>
  </si>
  <si>
    <t xml:space="preserve">شهر 24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</si>
</sst>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0.0%"/>
    <numFmt numFmtId="168" formatCode="0"/>
    <numFmt numFmtId="169" formatCode="@"/>
    <numFmt numFmtId="170" formatCode="#,##0.0"/>
    <numFmt numFmtId="171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FFFFFF"/>
      <name val="Arial"/>
      <family val="0"/>
      <charset val="1"/>
    </font>
    <font>
      <sz val="11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B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375623"/>
      <name val="Arial"/>
      <family val="0"/>
      <charset val="1"/>
    </font>
    <font>
      <sz val="8"/>
      <color rgb="FF7B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/>
      <top style="medium">
        <color rgb="FF1F3864"/>
      </top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8.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6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6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6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6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</row>
    <row r="6" customFormat="false" ht="16.5" hidden="false" customHeight="true" outlineLevel="0" collapsed="false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</row>
    <row r="7" customFormat="false" ht="16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3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  <row r="9" customFormat="false" ht="18.75" hidden="false" customHeight="true" outlineLevel="0" collapsed="false">
      <c r="B9" s="4" t="s">
        <v>2</v>
      </c>
      <c r="C9" s="4"/>
      <c r="D9" s="4"/>
      <c r="E9" s="4" t="s">
        <v>3</v>
      </c>
      <c r="F9" s="4"/>
      <c r="G9" s="4"/>
      <c r="H9" s="4" t="s">
        <v>4</v>
      </c>
      <c r="I9" s="4"/>
      <c r="J9" s="4"/>
    </row>
    <row r="10" customFormat="false" ht="15" hidden="false" customHeight="true" outlineLevel="0" collapsed="false">
      <c r="B10" s="5" t="s">
        <v>5</v>
      </c>
      <c r="C10" s="5"/>
      <c r="D10" s="5"/>
      <c r="E10" s="5" t="s">
        <v>6</v>
      </c>
      <c r="F10" s="5"/>
      <c r="G10" s="5"/>
      <c r="H10" s="5" t="s">
        <v>7</v>
      </c>
      <c r="I10" s="5"/>
      <c r="J10" s="5"/>
    </row>
    <row r="11" customFormat="false" ht="16.5" hidden="false" customHeight="true" outlineLevel="0" collapsed="false"/>
    <row r="12" customFormat="false" ht="16.5" hidden="false" customHeight="true" outlineLevel="0" collapsed="false"/>
    <row r="13" customFormat="false" ht="18.75" hidden="false" customHeight="true" outlineLevel="0" collapsed="false">
      <c r="B13" s="4" t="s">
        <v>8</v>
      </c>
      <c r="C13" s="4"/>
      <c r="D13" s="4"/>
      <c r="E13" s="4" t="s">
        <v>9</v>
      </c>
      <c r="F13" s="4"/>
      <c r="G13" s="4"/>
      <c r="H13" s="4" t="s">
        <v>10</v>
      </c>
      <c r="I13" s="4"/>
      <c r="J13" s="4"/>
    </row>
    <row r="14" customFormat="false" ht="15" hidden="false" customHeight="true" outlineLevel="0" collapsed="false">
      <c r="B14" s="5" t="s">
        <v>11</v>
      </c>
      <c r="C14" s="5"/>
      <c r="D14" s="5"/>
      <c r="E14" s="5" t="s">
        <v>12</v>
      </c>
      <c r="F14" s="5"/>
      <c r="G14" s="5"/>
      <c r="H14" s="5" t="s">
        <v>13</v>
      </c>
      <c r="I14" s="5"/>
      <c r="J14" s="5"/>
    </row>
    <row r="15" customFormat="false" ht="16.5" hidden="false" customHeight="true" outlineLevel="0" collapsed="false"/>
    <row r="16" customFormat="false" ht="16.5" hidden="false" customHeight="true" outlineLevel="0" collapsed="false"/>
    <row r="17" customFormat="false" ht="16.5" hidden="false" customHeight="true" outlineLevel="0" collapsed="false"/>
    <row r="18" customFormat="false" ht="16.5" hidden="false" customHeight="true" outlineLevel="0" collapsed="false"/>
    <row r="19" customFormat="false" ht="16.5" hidden="false" customHeight="true" outlineLevel="0" collapsed="false"/>
    <row r="20" customFormat="false" ht="16.5" hidden="false" customHeight="true" outlineLevel="0" collapsed="false"/>
    <row r="21" customFormat="false" ht="16.5" hidden="false" customHeight="true" outlineLevel="0" collapsed="false"/>
    <row r="22" customFormat="false" ht="16.5" hidden="false" customHeight="true" outlineLevel="0" collapsed="false"/>
    <row r="23" customFormat="false" ht="16.5" hidden="false" customHeight="true" outlineLevel="0" collapsed="false"/>
    <row r="24" customFormat="false" ht="16.5" hidden="false" customHeight="true" outlineLevel="0" collapsed="false"/>
    <row r="25" customFormat="false" ht="16.5" hidden="false" customHeight="true" outlineLevel="0" collapsed="false"/>
    <row r="26" customFormat="false" ht="16.5" hidden="false" customHeight="true" outlineLevel="0" collapsed="false"/>
    <row r="27" customFormat="false" ht="16.5" hidden="false" customHeight="true" outlineLevel="0" collapsed="false"/>
    <row r="28" customFormat="false" ht="16.5" hidden="false" customHeight="true" outlineLevel="0" collapsed="false"/>
    <row r="29" customFormat="false" ht="16.5" hidden="false" customHeight="true" outlineLevel="0" collapsed="false"/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mergeCells count="14">
    <mergeCell ref="A1:J5"/>
    <mergeCell ref="A6:J7"/>
    <mergeCell ref="B9:D9"/>
    <mergeCell ref="E9:G9"/>
    <mergeCell ref="H9:J9"/>
    <mergeCell ref="B10:D10"/>
    <mergeCell ref="E10:G10"/>
    <mergeCell ref="H10:J10"/>
    <mergeCell ref="B13:D13"/>
    <mergeCell ref="E13:G13"/>
    <mergeCell ref="H13:J13"/>
    <mergeCell ref="B14:D14"/>
    <mergeCell ref="E14:G14"/>
    <mergeCell ref="H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27.75" hidden="false" customHeight="true" outlineLevel="0" collapsed="false">
      <c r="A1" s="6" t="s">
        <v>14</v>
      </c>
      <c r="B1" s="6"/>
      <c r="C1" s="6"/>
      <c r="D1" s="6"/>
      <c r="E1" s="6"/>
      <c r="F1" s="6"/>
    </row>
    <row r="3" customFormat="false" ht="21.75" hidden="false" customHeight="true" outlineLevel="0" collapsed="false">
      <c r="A3" s="7" t="s">
        <v>15</v>
      </c>
      <c r="B3" s="7"/>
      <c r="C3" s="7"/>
      <c r="D3" s="7" t="s">
        <v>16</v>
      </c>
      <c r="E3" s="7"/>
      <c r="F3" s="7"/>
    </row>
    <row r="4" customFormat="false" ht="16.5" hidden="false" customHeight="true" outlineLevel="0" collapsed="false">
      <c r="A4" s="8" t="s">
        <v>17</v>
      </c>
      <c r="B4" s="9" t="n">
        <v>1000</v>
      </c>
      <c r="D4" s="8" t="s">
        <v>18</v>
      </c>
      <c r="E4" s="9" t="n">
        <v>0</v>
      </c>
    </row>
    <row r="5" customFormat="false" ht="16.5" hidden="false" customHeight="true" outlineLevel="0" collapsed="false">
      <c r="A5" s="8" t="s">
        <v>19</v>
      </c>
      <c r="B5" s="9" t="n">
        <v>500</v>
      </c>
      <c r="D5" s="8" t="s">
        <v>20</v>
      </c>
      <c r="E5" s="9" t="n">
        <v>300</v>
      </c>
    </row>
    <row r="6" customFormat="false" ht="16.5" hidden="false" customHeight="true" outlineLevel="0" collapsed="false">
      <c r="A6" s="8" t="s">
        <v>21</v>
      </c>
      <c r="B6" s="9" t="n">
        <v>0</v>
      </c>
      <c r="D6" s="8" t="s">
        <v>22</v>
      </c>
      <c r="E6" s="9" t="n">
        <v>600</v>
      </c>
    </row>
    <row r="7" customFormat="false" ht="16.5" hidden="false" customHeight="true" outlineLevel="0" collapsed="false">
      <c r="A7" s="8" t="s">
        <v>23</v>
      </c>
      <c r="B7" s="9" t="n">
        <v>0</v>
      </c>
      <c r="D7" s="8" t="s">
        <v>24</v>
      </c>
      <c r="E7" s="9" t="n">
        <v>150</v>
      </c>
    </row>
    <row r="8" customFormat="false" ht="16.5" hidden="false" customHeight="true" outlineLevel="0" collapsed="false">
      <c r="A8" s="10" t="s">
        <v>25</v>
      </c>
      <c r="B8" s="11" t="n">
        <f aca="false">SUM(B4:B7)</f>
        <v>1500</v>
      </c>
      <c r="D8" s="8" t="s">
        <v>26</v>
      </c>
      <c r="E8" s="9" t="n">
        <v>100</v>
      </c>
    </row>
    <row r="9" customFormat="false" ht="16.5" hidden="false" customHeight="true" outlineLevel="0" collapsed="false">
      <c r="D9" s="8" t="s">
        <v>27</v>
      </c>
      <c r="E9" s="9" t="n">
        <v>200</v>
      </c>
    </row>
    <row r="10" customFormat="false" ht="16.5" hidden="false" customHeight="true" outlineLevel="0" collapsed="false">
      <c r="D10" s="8" t="s">
        <v>28</v>
      </c>
      <c r="E10" s="9" t="n">
        <v>150</v>
      </c>
    </row>
    <row r="11" customFormat="false" ht="19.5" hidden="false" customHeight="true" outlineLevel="0" collapsed="false">
      <c r="D11" s="10" t="s">
        <v>29</v>
      </c>
      <c r="E11" s="12" t="n">
        <f aca="false">SUM(E4:E10)</f>
        <v>1500</v>
      </c>
    </row>
    <row r="13" customFormat="false" ht="21.75" hidden="false" customHeight="true" outlineLevel="0" collapsed="false">
      <c r="A13" s="13" t="s">
        <v>30</v>
      </c>
      <c r="B13" s="13"/>
      <c r="C13" s="13"/>
      <c r="D13" s="13"/>
      <c r="E13" s="13"/>
      <c r="F13" s="13"/>
    </row>
    <row r="14" customFormat="false" ht="18" hidden="false" customHeight="true" outlineLevel="0" collapsed="false">
      <c r="A14" s="14" t="s">
        <v>31</v>
      </c>
      <c r="B14" s="11" t="n">
        <f aca="false">B8-E11</f>
        <v>0</v>
      </c>
      <c r="D14" s="14" t="s">
        <v>32</v>
      </c>
      <c r="E14" s="15" t="n">
        <f aca="false">IF(B8=0,0,(B8-E11)/B8)</f>
        <v>0</v>
      </c>
    </row>
    <row r="15" customFormat="false" ht="24" hidden="false" customHeight="true" outlineLevel="0" collapsed="false">
      <c r="A15" s="16" t="str">
        <f aca="false">IF(B8-E11&gt;=0,"✅ ميزانيتك متوازنة – فائض "&amp;TEXT(B8-E11,"#,##0")&amp;" ريال شهرياً يمكن ادخاره","⚠️ عجز "&amp;TEXT(E11-B8,"#,##0")&amp;" ريال – قلّل المصاريف أو ابحث عن دخل إضافي")</f>
        <v>✅ ميزانيتك متوازنة – فائض 0 ريال شهرياً يمكن ادخاره</v>
      </c>
      <c r="B15" s="16"/>
      <c r="C15" s="16"/>
      <c r="D15" s="16"/>
      <c r="E15" s="16"/>
      <c r="F15" s="16"/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</row>
    <row r="18" customFormat="false" ht="15" hidden="false" customHeight="false" outlineLevel="0" collapsed="false">
      <c r="A18" s="17" t="s">
        <v>33</v>
      </c>
    </row>
    <row r="19" customFormat="false" ht="12.75" hidden="false" customHeight="true" outlineLevel="0" collapsed="false">
      <c r="A19" s="18" t="s">
        <v>34</v>
      </c>
    </row>
    <row r="20" customFormat="false" ht="12.75" hidden="false" customHeight="true" outlineLevel="0" collapsed="false">
      <c r="A20" s="19" t="s">
        <v>35</v>
      </c>
    </row>
    <row r="21" customFormat="false" ht="12.75" hidden="false" customHeight="true" outlineLevel="0" collapsed="false">
      <c r="A21" s="20" t="s">
        <v>36</v>
      </c>
    </row>
    <row r="22" customFormat="false" ht="12.75" hidden="false" customHeight="true" outlineLevel="0" collapsed="false">
      <c r="A22" s="21" t="s">
        <v>37</v>
      </c>
    </row>
  </sheetData>
  <mergeCells count="5">
    <mergeCell ref="A1:F1"/>
    <mergeCell ref="A3:C3"/>
    <mergeCell ref="D3:F3"/>
    <mergeCell ref="A13:F13"/>
    <mergeCell ref="A15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27.75" hidden="false" customHeight="true" outlineLevel="0" collapsed="false">
      <c r="A1" s="6" t="s">
        <v>38</v>
      </c>
      <c r="B1" s="6"/>
      <c r="C1" s="6"/>
      <c r="D1" s="6"/>
      <c r="E1" s="6"/>
    </row>
    <row r="3" customFormat="false" ht="16.5" hidden="false" customHeight="true" outlineLevel="0" collapsed="false">
      <c r="A3" s="8" t="s">
        <v>39</v>
      </c>
      <c r="B3" s="22" t="n">
        <v>4</v>
      </c>
      <c r="D3" s="8" t="s">
        <v>40</v>
      </c>
      <c r="E3" s="23" t="s">
        <v>41</v>
      </c>
    </row>
    <row r="5" customFormat="false" ht="21.75" hidden="false" customHeight="true" outlineLevel="0" collapsed="false">
      <c r="A5" s="7" t="s">
        <v>42</v>
      </c>
      <c r="B5" s="7"/>
      <c r="C5" s="7"/>
      <c r="D5" s="7"/>
      <c r="E5" s="7"/>
    </row>
    <row r="6" customFormat="false" ht="19.5" hidden="false" customHeight="true" outlineLevel="0" collapsed="false">
      <c r="A6" s="24" t="s">
        <v>43</v>
      </c>
      <c r="B6" s="24" t="s">
        <v>44</v>
      </c>
      <c r="C6" s="24" t="s">
        <v>45</v>
      </c>
      <c r="D6" s="24" t="s">
        <v>46</v>
      </c>
      <c r="E6" s="24"/>
    </row>
    <row r="7" customFormat="false" ht="16.5" hidden="false" customHeight="true" outlineLevel="0" collapsed="false">
      <c r="A7" s="25" t="s">
        <v>47</v>
      </c>
      <c r="B7" s="9" t="n">
        <v>0</v>
      </c>
      <c r="C7" s="26" t="n">
        <f aca="false">B7*$B$3</f>
        <v>0</v>
      </c>
      <c r="D7" s="27" t="s">
        <v>48</v>
      </c>
      <c r="E7" s="27"/>
    </row>
    <row r="8" customFormat="false" ht="16.5" hidden="false" customHeight="true" outlineLevel="0" collapsed="false">
      <c r="A8" s="8" t="s">
        <v>49</v>
      </c>
      <c r="B8" s="9" t="n">
        <v>1500</v>
      </c>
      <c r="C8" s="26" t="n">
        <f aca="false">B8*$B$3</f>
        <v>6000</v>
      </c>
      <c r="D8" s="27"/>
      <c r="E8" s="27"/>
    </row>
    <row r="9" customFormat="false" ht="16.5" hidden="false" customHeight="true" outlineLevel="0" collapsed="false">
      <c r="A9" s="25" t="s">
        <v>50</v>
      </c>
      <c r="B9" s="9" t="n">
        <v>0</v>
      </c>
      <c r="C9" s="26" t="n">
        <f aca="false">B9*$B$3</f>
        <v>0</v>
      </c>
      <c r="D9" s="27" t="s">
        <v>51</v>
      </c>
      <c r="E9" s="27"/>
    </row>
    <row r="10" customFormat="false" ht="16.5" hidden="false" customHeight="true" outlineLevel="0" collapsed="false">
      <c r="A10" s="8" t="s">
        <v>52</v>
      </c>
      <c r="B10" s="9" t="n">
        <v>3600</v>
      </c>
      <c r="C10" s="26" t="n">
        <f aca="false">B10*$B$3</f>
        <v>14400</v>
      </c>
      <c r="D10" s="27"/>
      <c r="E10" s="27"/>
    </row>
    <row r="11" customFormat="false" ht="16.5" hidden="false" customHeight="true" outlineLevel="0" collapsed="false">
      <c r="A11" s="25" t="s">
        <v>53</v>
      </c>
      <c r="B11" s="9" t="n">
        <v>7200</v>
      </c>
      <c r="C11" s="26" t="n">
        <f aca="false">B11*$B$3</f>
        <v>28800</v>
      </c>
      <c r="D11" s="27"/>
      <c r="E11" s="27"/>
    </row>
    <row r="12" customFormat="false" ht="16.5" hidden="false" customHeight="true" outlineLevel="0" collapsed="false">
      <c r="A12" s="8" t="s">
        <v>54</v>
      </c>
      <c r="B12" s="9" t="n">
        <v>2000</v>
      </c>
      <c r="C12" s="26" t="n">
        <f aca="false">B12*$B$3</f>
        <v>8000</v>
      </c>
      <c r="D12" s="27" t="s">
        <v>55</v>
      </c>
      <c r="E12" s="27"/>
    </row>
    <row r="13" customFormat="false" ht="16.5" hidden="false" customHeight="true" outlineLevel="0" collapsed="false">
      <c r="A13" s="25" t="s">
        <v>56</v>
      </c>
      <c r="B13" s="9" t="n">
        <v>1500</v>
      </c>
      <c r="C13" s="26" t="n">
        <f aca="false">B13*$B$3</f>
        <v>6000</v>
      </c>
      <c r="D13" s="27"/>
      <c r="E13" s="27"/>
    </row>
    <row r="14" customFormat="false" ht="19.5" hidden="false" customHeight="true" outlineLevel="0" collapsed="false">
      <c r="A14" s="10" t="s">
        <v>57</v>
      </c>
      <c r="B14" s="11" t="n">
        <f aca="false">SUM(B7:B13)</f>
        <v>15800</v>
      </c>
      <c r="C14" s="11" t="n">
        <f aca="false">SUM(C7:C13)</f>
        <v>63200</v>
      </c>
    </row>
    <row r="16" customFormat="false" ht="15" hidden="false" customHeight="false" outlineLevel="0" collapsed="false">
      <c r="A16" s="17" t="s">
        <v>33</v>
      </c>
    </row>
    <row r="17" customFormat="false" ht="12.75" hidden="false" customHeight="true" outlineLevel="0" collapsed="false">
      <c r="A17" s="18" t="s">
        <v>34</v>
      </c>
    </row>
    <row r="18" customFormat="false" ht="12.75" hidden="false" customHeight="true" outlineLevel="0" collapsed="false">
      <c r="A18" s="19" t="s">
        <v>35</v>
      </c>
    </row>
    <row r="19" customFormat="false" ht="12.75" hidden="false" customHeight="true" outlineLevel="0" collapsed="false">
      <c r="A19" s="20" t="s">
        <v>36</v>
      </c>
    </row>
    <row r="20" customFormat="false" ht="12.75" hidden="false" customHeight="true" outlineLevel="0" collapsed="false">
      <c r="A20" s="21" t="s">
        <v>37</v>
      </c>
    </row>
  </sheetData>
  <mergeCells count="10">
    <mergeCell ref="A1:E1"/>
    <mergeCell ref="A5:E5"/>
    <mergeCell ref="D6:E6"/>
    <mergeCell ref="D7:E7"/>
    <mergeCell ref="D8:E8"/>
    <mergeCell ref="D9:E9"/>
    <mergeCell ref="D10:E10"/>
    <mergeCell ref="D11:E11"/>
    <mergeCell ref="D12:E12"/>
    <mergeCell ref="D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6" t="s">
        <v>58</v>
      </c>
      <c r="B1" s="6"/>
      <c r="C1" s="6"/>
      <c r="D1" s="6"/>
      <c r="E1" s="6"/>
      <c r="F1" s="6"/>
      <c r="G1" s="6"/>
      <c r="H1" s="6"/>
    </row>
    <row r="2" customFormat="false" ht="21.75" hidden="false" customHeight="true" outlineLevel="0" collapsed="false">
      <c r="A2" s="24" t="s">
        <v>59</v>
      </c>
      <c r="B2" s="24" t="s">
        <v>60</v>
      </c>
      <c r="C2" s="24" t="s">
        <v>61</v>
      </c>
      <c r="D2" s="24" t="s">
        <v>62</v>
      </c>
      <c r="E2" s="24" t="s">
        <v>63</v>
      </c>
      <c r="F2" s="24" t="s">
        <v>64</v>
      </c>
      <c r="G2" s="24" t="s">
        <v>65</v>
      </c>
      <c r="H2" s="24" t="s">
        <v>66</v>
      </c>
    </row>
    <row r="3" customFormat="false" ht="18" hidden="false" customHeight="true" outlineLevel="0" collapsed="false">
      <c r="A3" s="23" t="s">
        <v>67</v>
      </c>
      <c r="B3" s="23" t="s">
        <v>68</v>
      </c>
      <c r="C3" s="9" t="n">
        <v>0</v>
      </c>
      <c r="D3" s="23" t="s">
        <v>69</v>
      </c>
      <c r="E3" s="23" t="s">
        <v>69</v>
      </c>
      <c r="F3" s="23" t="s">
        <v>69</v>
      </c>
      <c r="G3" s="23"/>
      <c r="H3" s="28" t="n">
        <f aca="false">IF(C3=0,0,(C3/1000)*3+IF(D3="نعم",2,0)+IF(E3="نعم",1.5,0)+IF(F3="نعم",1.5,0))</f>
        <v>0</v>
      </c>
    </row>
    <row r="4" customFormat="false" ht="18" hidden="false" customHeight="true" outlineLevel="0" collapsed="false">
      <c r="A4" s="23" t="s">
        <v>70</v>
      </c>
      <c r="B4" s="23" t="s">
        <v>68</v>
      </c>
      <c r="C4" s="9" t="n">
        <v>0</v>
      </c>
      <c r="D4" s="23" t="s">
        <v>69</v>
      </c>
      <c r="E4" s="23" t="s">
        <v>69</v>
      </c>
      <c r="F4" s="23" t="s">
        <v>69</v>
      </c>
      <c r="G4" s="23"/>
      <c r="H4" s="28" t="n">
        <f aca="false">IF(C4=0,0,(C4/1000)*3+IF(D4="نعم",2,0)+IF(E4="نعم",1.5,0)+IF(F4="نعم",1.5,0))</f>
        <v>0</v>
      </c>
    </row>
    <row r="5" customFormat="false" ht="18" hidden="false" customHeight="true" outlineLevel="0" collapsed="false">
      <c r="A5" s="23" t="s">
        <v>71</v>
      </c>
      <c r="B5" s="23" t="s">
        <v>68</v>
      </c>
      <c r="C5" s="9" t="n">
        <v>0</v>
      </c>
      <c r="D5" s="23" t="s">
        <v>69</v>
      </c>
      <c r="E5" s="23" t="s">
        <v>69</v>
      </c>
      <c r="F5" s="23" t="s">
        <v>69</v>
      </c>
      <c r="G5" s="23"/>
      <c r="H5" s="28" t="n">
        <f aca="false">IF(C5=0,0,(C5/1000)*3+IF(D5="نعم",2,0)+IF(E5="نعم",1.5,0)+IF(F5="نعم",1.5,0))</f>
        <v>0</v>
      </c>
    </row>
    <row r="6" customFormat="false" ht="18" hidden="false" customHeight="true" outlineLevel="0" collapsed="false">
      <c r="A6" s="23" t="s">
        <v>72</v>
      </c>
      <c r="B6" s="23" t="s">
        <v>68</v>
      </c>
      <c r="C6" s="9" t="n">
        <v>0</v>
      </c>
      <c r="D6" s="23" t="s">
        <v>69</v>
      </c>
      <c r="E6" s="23" t="s">
        <v>69</v>
      </c>
      <c r="F6" s="23" t="s">
        <v>69</v>
      </c>
      <c r="G6" s="23"/>
      <c r="H6" s="28" t="n">
        <f aca="false">IF(C6=0,0,(C6/1000)*3+IF(D6="نعم",2,0)+IF(E6="نعم",1.5,0)+IF(F6="نعم",1.5,0))</f>
        <v>0</v>
      </c>
    </row>
    <row r="7" customFormat="false" ht="18" hidden="false" customHeight="true" outlineLevel="0" collapsed="false">
      <c r="A7" s="23" t="s">
        <v>73</v>
      </c>
      <c r="B7" s="23" t="s">
        <v>68</v>
      </c>
      <c r="C7" s="9" t="n">
        <v>0</v>
      </c>
      <c r="D7" s="23" t="s">
        <v>69</v>
      </c>
      <c r="E7" s="23" t="s">
        <v>69</v>
      </c>
      <c r="F7" s="23" t="s">
        <v>69</v>
      </c>
      <c r="G7" s="23"/>
      <c r="H7" s="28" t="n">
        <f aca="false">IF(C7=0,0,(C7/1000)*3+IF(D7="نعم",2,0)+IF(E7="نعم",1.5,0)+IF(F7="نعم",1.5,0))</f>
        <v>0</v>
      </c>
    </row>
    <row r="8" customFormat="false" ht="18" hidden="false" customHeight="true" outlineLevel="0" collapsed="false">
      <c r="A8" s="23" t="s">
        <v>74</v>
      </c>
      <c r="B8" s="23" t="s">
        <v>68</v>
      </c>
      <c r="C8" s="9" t="n">
        <v>0</v>
      </c>
      <c r="D8" s="23" t="s">
        <v>69</v>
      </c>
      <c r="E8" s="23" t="s">
        <v>69</v>
      </c>
      <c r="F8" s="23" t="s">
        <v>69</v>
      </c>
      <c r="G8" s="23"/>
      <c r="H8" s="28" t="n">
        <f aca="false">IF(C8=0,0,(C8/1000)*3+IF(D8="نعم",2,0)+IF(E8="نعم",1.5,0)+IF(F8="نعم",1.5,0))</f>
        <v>0</v>
      </c>
    </row>
    <row r="10" customFormat="false" ht="24" hidden="false" customHeight="true" outlineLevel="0" collapsed="false">
      <c r="A10" s="29" t="str">
        <f aca="false">IF(MAX(H3:H8)=0,"أدخل بيانات المنح للمقارنة","🏆 أعلى منحة تقييماً: "&amp;INDEX(A3:A8,MATCH(MAX(H3:H8),H3:H8,0))&amp;" بتقييم "&amp;TEXT(MAX(H3:H8),"0.0")&amp;"/10")</f>
        <v>أدخل بيانات المنح للمقارنة</v>
      </c>
      <c r="B10" s="29"/>
      <c r="C10" s="29"/>
      <c r="D10" s="29"/>
      <c r="E10" s="29"/>
      <c r="F10" s="29"/>
      <c r="G10" s="29"/>
      <c r="H10" s="29"/>
    </row>
    <row r="12" customFormat="false" ht="15" hidden="false" customHeight="false" outlineLevel="0" collapsed="false">
      <c r="A12" s="17" t="s">
        <v>33</v>
      </c>
    </row>
    <row r="13" customFormat="false" ht="12.75" hidden="false" customHeight="true" outlineLevel="0" collapsed="false">
      <c r="A13" s="18" t="s">
        <v>34</v>
      </c>
    </row>
    <row r="14" customFormat="false" ht="12.75" hidden="false" customHeight="true" outlineLevel="0" collapsed="false">
      <c r="A14" s="19" t="s">
        <v>35</v>
      </c>
    </row>
    <row r="15" customFormat="false" ht="12.75" hidden="false" customHeight="true" outlineLevel="0" collapsed="false">
      <c r="A15" s="20" t="s">
        <v>36</v>
      </c>
    </row>
    <row r="16" customFormat="false" ht="12.75" hidden="false" customHeight="true" outlineLevel="0" collapsed="false">
      <c r="A16" s="21" t="s">
        <v>37</v>
      </c>
    </row>
  </sheetData>
  <mergeCells count="2">
    <mergeCell ref="A1:H1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10"/>
  </cols>
  <sheetData>
    <row r="1" customFormat="false" ht="27.75" hidden="false" customHeight="true" outlineLevel="0" collapsed="false">
      <c r="A1" s="6" t="s">
        <v>75</v>
      </c>
      <c r="B1" s="6"/>
      <c r="C1" s="6"/>
      <c r="D1" s="6"/>
      <c r="E1" s="6"/>
    </row>
    <row r="3" customFormat="false" ht="16.5" hidden="false" customHeight="true" outlineLevel="0" collapsed="false">
      <c r="A3" s="8" t="s">
        <v>76</v>
      </c>
      <c r="B3" s="23"/>
      <c r="D3" s="8" t="s">
        <v>77</v>
      </c>
      <c r="E3" s="30" t="n">
        <v>1</v>
      </c>
    </row>
    <row r="5" customFormat="false" ht="21.75" hidden="false" customHeight="true" outlineLevel="0" collapsed="false">
      <c r="A5" s="7" t="s">
        <v>78</v>
      </c>
      <c r="B5" s="7"/>
      <c r="C5" s="7"/>
      <c r="D5" s="7"/>
      <c r="E5" s="7"/>
    </row>
    <row r="6" customFormat="false" ht="19.5" hidden="false" customHeight="true" outlineLevel="0" collapsed="false">
      <c r="A6" s="24" t="s">
        <v>43</v>
      </c>
      <c r="B6" s="24" t="s">
        <v>79</v>
      </c>
      <c r="C6" s="24" t="s">
        <v>80</v>
      </c>
      <c r="D6" s="24" t="s">
        <v>44</v>
      </c>
      <c r="E6" s="24"/>
    </row>
    <row r="7" customFormat="false" ht="16.5" hidden="false" customHeight="true" outlineLevel="0" collapsed="false">
      <c r="A7" s="25" t="s">
        <v>62</v>
      </c>
      <c r="B7" s="9" t="n">
        <v>0</v>
      </c>
      <c r="C7" s="26" t="n">
        <f aca="false">B7*$E$3</f>
        <v>0</v>
      </c>
      <c r="D7" s="26" t="n">
        <f aca="false">C7*12</f>
        <v>0</v>
      </c>
    </row>
    <row r="8" customFormat="false" ht="16.5" hidden="false" customHeight="true" outlineLevel="0" collapsed="false">
      <c r="A8" s="8" t="s">
        <v>81</v>
      </c>
      <c r="B8" s="9" t="n">
        <v>0</v>
      </c>
      <c r="C8" s="26" t="n">
        <f aca="false">B8*$E$3</f>
        <v>0</v>
      </c>
      <c r="D8" s="26" t="n">
        <f aca="false">C8*12</f>
        <v>0</v>
      </c>
    </row>
    <row r="9" customFormat="false" ht="16.5" hidden="false" customHeight="true" outlineLevel="0" collapsed="false">
      <c r="A9" s="25" t="s">
        <v>52</v>
      </c>
      <c r="B9" s="9" t="n">
        <v>0</v>
      </c>
      <c r="C9" s="26" t="n">
        <f aca="false">B9*$E$3</f>
        <v>0</v>
      </c>
      <c r="D9" s="26" t="n">
        <f aca="false">C9*12</f>
        <v>0</v>
      </c>
    </row>
    <row r="10" customFormat="false" ht="16.5" hidden="false" customHeight="true" outlineLevel="0" collapsed="false">
      <c r="A10" s="8" t="s">
        <v>82</v>
      </c>
      <c r="B10" s="9" t="n">
        <v>0</v>
      </c>
      <c r="C10" s="26" t="n">
        <f aca="false">B10*$E$3</f>
        <v>0</v>
      </c>
      <c r="D10" s="26" t="n">
        <f aca="false">C10*12</f>
        <v>0</v>
      </c>
    </row>
    <row r="11" customFormat="false" ht="16.5" hidden="false" customHeight="true" outlineLevel="0" collapsed="false">
      <c r="A11" s="25" t="s">
        <v>83</v>
      </c>
      <c r="B11" s="9" t="n">
        <v>0</v>
      </c>
      <c r="C11" s="26" t="n">
        <f aca="false">B11*$E$3</f>
        <v>0</v>
      </c>
      <c r="D11" s="26" t="n">
        <f aca="false">C11*12</f>
        <v>0</v>
      </c>
    </row>
    <row r="12" customFormat="false" ht="16.5" hidden="false" customHeight="true" outlineLevel="0" collapsed="false">
      <c r="A12" s="8" t="s">
        <v>84</v>
      </c>
      <c r="B12" s="9" t="n">
        <v>0</v>
      </c>
      <c r="C12" s="26" t="n">
        <f aca="false">B12*$E$3</f>
        <v>0</v>
      </c>
      <c r="D12" s="26" t="n">
        <f aca="false">C12*12</f>
        <v>0</v>
      </c>
    </row>
    <row r="13" customFormat="false" ht="16.5" hidden="false" customHeight="true" outlineLevel="0" collapsed="false">
      <c r="A13" s="25" t="s">
        <v>85</v>
      </c>
      <c r="B13" s="9" t="n">
        <v>0</v>
      </c>
      <c r="C13" s="26" t="n">
        <f aca="false">B13*$E$3</f>
        <v>0</v>
      </c>
      <c r="D13" s="26" t="n">
        <f aca="false">C13*12</f>
        <v>0</v>
      </c>
    </row>
    <row r="14" customFormat="false" ht="19.5" hidden="false" customHeight="true" outlineLevel="0" collapsed="false">
      <c r="A14" s="10" t="s">
        <v>86</v>
      </c>
      <c r="C14" s="11" t="n">
        <f aca="false">SUM(C7:C13)</f>
        <v>0</v>
      </c>
      <c r="D14" s="11" t="n">
        <f aca="false">SUM(D7:D13)</f>
        <v>0</v>
      </c>
    </row>
    <row r="16" customFormat="false" ht="21.75" hidden="false" customHeight="true" outlineLevel="0" collapsed="false">
      <c r="A16" s="7" t="s">
        <v>87</v>
      </c>
      <c r="B16" s="7"/>
      <c r="C16" s="7"/>
      <c r="D16" s="7"/>
      <c r="E16" s="7"/>
    </row>
    <row r="17" customFormat="false" ht="16.5" hidden="false" customHeight="true" outlineLevel="0" collapsed="false">
      <c r="A17" s="8" t="s">
        <v>88</v>
      </c>
      <c r="B17" s="9" t="n">
        <v>0</v>
      </c>
    </row>
    <row r="18" customFormat="false" ht="16.5" hidden="false" customHeight="true" outlineLevel="0" collapsed="false">
      <c r="A18" s="8" t="s">
        <v>89</v>
      </c>
      <c r="B18" s="9" t="n">
        <v>0</v>
      </c>
    </row>
    <row r="19" customFormat="false" ht="16.5" hidden="false" customHeight="true" outlineLevel="0" collapsed="false">
      <c r="A19" s="8" t="s">
        <v>90</v>
      </c>
      <c r="B19" s="9" t="n">
        <v>0</v>
      </c>
    </row>
    <row r="20" customFormat="false" ht="16.5" hidden="false" customHeight="true" outlineLevel="0" collapsed="false">
      <c r="A20" s="8" t="s">
        <v>91</v>
      </c>
      <c r="B20" s="9" t="n">
        <v>0</v>
      </c>
    </row>
    <row r="21" customFormat="false" ht="19.5" hidden="false" customHeight="true" outlineLevel="0" collapsed="false">
      <c r="A21" s="10" t="s">
        <v>92</v>
      </c>
      <c r="B21" s="11" t="n">
        <f aca="false">SUM(B17:B20)</f>
        <v>0</v>
      </c>
    </row>
    <row r="23" customFormat="false" ht="15" hidden="false" customHeight="false" outlineLevel="0" collapsed="false">
      <c r="A23" s="17" t="s">
        <v>33</v>
      </c>
    </row>
    <row r="24" customFormat="false" ht="12.75" hidden="false" customHeight="true" outlineLevel="0" collapsed="false">
      <c r="A24" s="18" t="s">
        <v>34</v>
      </c>
    </row>
    <row r="25" customFormat="false" ht="12.75" hidden="false" customHeight="true" outlineLevel="0" collapsed="false">
      <c r="A25" s="19" t="s">
        <v>35</v>
      </c>
    </row>
    <row r="26" customFormat="false" ht="12.75" hidden="false" customHeight="true" outlineLevel="0" collapsed="false">
      <c r="A26" s="20" t="s">
        <v>36</v>
      </c>
    </row>
    <row r="27" customFormat="false" ht="12.75" hidden="false" customHeight="true" outlineLevel="0" collapsed="false">
      <c r="A27" s="21" t="s">
        <v>37</v>
      </c>
    </row>
  </sheetData>
  <mergeCells count="4">
    <mergeCell ref="A1:E1"/>
    <mergeCell ref="A5:E5"/>
    <mergeCell ref="D6:E6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6" t="s">
        <v>93</v>
      </c>
      <c r="B1" s="6"/>
      <c r="C1" s="6"/>
      <c r="D1" s="6"/>
      <c r="E1" s="6"/>
    </row>
    <row r="3" customFormat="false" ht="21.75" hidden="false" customHeight="true" outlineLevel="0" collapsed="false">
      <c r="A3" s="7" t="s">
        <v>94</v>
      </c>
      <c r="B3" s="7"/>
      <c r="C3" s="7"/>
      <c r="D3" s="7"/>
      <c r="E3" s="7"/>
    </row>
    <row r="4" customFormat="false" ht="18" hidden="false" customHeight="true" outlineLevel="0" collapsed="false">
      <c r="A4" s="8" t="s">
        <v>95</v>
      </c>
      <c r="B4" s="9" t="n">
        <v>60000</v>
      </c>
    </row>
    <row r="5" customFormat="false" ht="18" hidden="false" customHeight="true" outlineLevel="0" collapsed="false">
      <c r="A5" s="8" t="s">
        <v>96</v>
      </c>
      <c r="B5" s="9" t="n">
        <v>5000</v>
      </c>
    </row>
    <row r="6" customFormat="false" ht="18" hidden="false" customHeight="true" outlineLevel="0" collapsed="false">
      <c r="A6" s="8" t="s">
        <v>97</v>
      </c>
      <c r="B6" s="22" t="n">
        <v>24</v>
      </c>
    </row>
    <row r="7" customFormat="false" ht="18" hidden="false" customHeight="true" outlineLevel="0" collapsed="false">
      <c r="A7" s="8" t="s">
        <v>98</v>
      </c>
      <c r="B7" s="11" t="n">
        <f aca="false">IF(B6=0,0,MAX(B4-B5,0)/B6)</f>
        <v>2291.66666666667</v>
      </c>
    </row>
    <row r="9" customFormat="false" ht="21.75" hidden="false" customHeight="true" outlineLevel="0" collapsed="false">
      <c r="A9" s="7" t="s">
        <v>99</v>
      </c>
      <c r="B9" s="7"/>
      <c r="C9" s="7"/>
      <c r="D9" s="7"/>
      <c r="E9" s="7"/>
    </row>
    <row r="10" customFormat="false" ht="19.5" hidden="false" customHeight="true" outlineLevel="0" collapsed="false">
      <c r="A10" s="24" t="s">
        <v>100</v>
      </c>
      <c r="B10" s="24" t="s">
        <v>101</v>
      </c>
      <c r="C10" s="24" t="s">
        <v>102</v>
      </c>
      <c r="D10" s="24" t="s">
        <v>103</v>
      </c>
      <c r="E10" s="24" t="s">
        <v>104</v>
      </c>
    </row>
    <row r="11" customFormat="false" ht="13.5" hidden="false" customHeight="true" outlineLevel="0" collapsed="false">
      <c r="A11" s="8" t="s">
        <v>105</v>
      </c>
      <c r="B11" s="26" t="n">
        <f aca="false">$B$7</f>
        <v>2291.66666666667</v>
      </c>
      <c r="C11" s="26" t="n">
        <f aca="false">$B$5+B11</f>
        <v>7291.66666666667</v>
      </c>
      <c r="D11" s="26" t="n">
        <f aca="false">MAX($B$4-C11,0)</f>
        <v>52708.3333333333</v>
      </c>
      <c r="E11" s="31" t="n">
        <f aca="false">IF($B$4=0,0,MIN(C11/$B$4,1))</f>
        <v>0.121527777777778</v>
      </c>
    </row>
    <row r="12" customFormat="false" ht="13.5" hidden="false" customHeight="true" outlineLevel="0" collapsed="false">
      <c r="A12" s="25" t="s">
        <v>106</v>
      </c>
      <c r="B12" s="26" t="n">
        <f aca="false">$B$7</f>
        <v>2291.66666666667</v>
      </c>
      <c r="C12" s="26" t="n">
        <f aca="false">C11+B12</f>
        <v>9583.33333333333</v>
      </c>
      <c r="D12" s="26" t="n">
        <f aca="false">MAX($B$4-C12,0)</f>
        <v>50416.6666666667</v>
      </c>
      <c r="E12" s="31" t="n">
        <f aca="false">IF($B$4=0,0,MIN(C12/$B$4,1))</f>
        <v>0.159722222222222</v>
      </c>
    </row>
    <row r="13" customFormat="false" ht="13.5" hidden="false" customHeight="true" outlineLevel="0" collapsed="false">
      <c r="A13" s="8" t="s">
        <v>107</v>
      </c>
      <c r="B13" s="26" t="n">
        <f aca="false">$B$7</f>
        <v>2291.66666666667</v>
      </c>
      <c r="C13" s="26" t="n">
        <f aca="false">C12+B13</f>
        <v>11875</v>
      </c>
      <c r="D13" s="26" t="n">
        <f aca="false">MAX($B$4-C13,0)</f>
        <v>48125</v>
      </c>
      <c r="E13" s="31" t="n">
        <f aca="false">IF($B$4=0,0,MIN(C13/$B$4,1))</f>
        <v>0.197916666666667</v>
      </c>
    </row>
    <row r="14" customFormat="false" ht="13.5" hidden="false" customHeight="true" outlineLevel="0" collapsed="false">
      <c r="A14" s="25" t="s">
        <v>108</v>
      </c>
      <c r="B14" s="26" t="n">
        <f aca="false">$B$7</f>
        <v>2291.66666666667</v>
      </c>
      <c r="C14" s="26" t="n">
        <f aca="false">C13+B14</f>
        <v>14166.6666666667</v>
      </c>
      <c r="D14" s="26" t="n">
        <f aca="false">MAX($B$4-C14,0)</f>
        <v>45833.3333333333</v>
      </c>
      <c r="E14" s="31" t="n">
        <f aca="false">IF($B$4=0,0,MIN(C14/$B$4,1))</f>
        <v>0.236111111111111</v>
      </c>
    </row>
    <row r="15" customFormat="false" ht="13.5" hidden="false" customHeight="true" outlineLevel="0" collapsed="false">
      <c r="A15" s="8" t="s">
        <v>109</v>
      </c>
      <c r="B15" s="26" t="n">
        <f aca="false">$B$7</f>
        <v>2291.66666666667</v>
      </c>
      <c r="C15" s="26" t="n">
        <f aca="false">C14+B15</f>
        <v>16458.3333333333</v>
      </c>
      <c r="D15" s="26" t="n">
        <f aca="false">MAX($B$4-C15,0)</f>
        <v>43541.6666666667</v>
      </c>
      <c r="E15" s="31" t="n">
        <f aca="false">IF($B$4=0,0,MIN(C15/$B$4,1))</f>
        <v>0.274305555555556</v>
      </c>
    </row>
    <row r="16" customFormat="false" ht="13.5" hidden="false" customHeight="true" outlineLevel="0" collapsed="false">
      <c r="A16" s="25" t="s">
        <v>110</v>
      </c>
      <c r="B16" s="26" t="n">
        <f aca="false">$B$7</f>
        <v>2291.66666666667</v>
      </c>
      <c r="C16" s="26" t="n">
        <f aca="false">C15+B16</f>
        <v>18750</v>
      </c>
      <c r="D16" s="26" t="n">
        <f aca="false">MAX($B$4-C16,0)</f>
        <v>41250</v>
      </c>
      <c r="E16" s="31" t="n">
        <f aca="false">IF($B$4=0,0,MIN(C16/$B$4,1))</f>
        <v>0.3125</v>
      </c>
    </row>
    <row r="17" customFormat="false" ht="13.5" hidden="false" customHeight="true" outlineLevel="0" collapsed="false">
      <c r="A17" s="8" t="s">
        <v>111</v>
      </c>
      <c r="B17" s="26" t="n">
        <f aca="false">$B$7</f>
        <v>2291.66666666667</v>
      </c>
      <c r="C17" s="26" t="n">
        <f aca="false">C16+B17</f>
        <v>21041.6666666667</v>
      </c>
      <c r="D17" s="26" t="n">
        <f aca="false">MAX($B$4-C17,0)</f>
        <v>38958.3333333333</v>
      </c>
      <c r="E17" s="31" t="n">
        <f aca="false">IF($B$4=0,0,MIN(C17/$B$4,1))</f>
        <v>0.350694444444445</v>
      </c>
    </row>
    <row r="18" customFormat="false" ht="13.5" hidden="false" customHeight="true" outlineLevel="0" collapsed="false">
      <c r="A18" s="25" t="s">
        <v>112</v>
      </c>
      <c r="B18" s="26" t="n">
        <f aca="false">$B$7</f>
        <v>2291.66666666667</v>
      </c>
      <c r="C18" s="26" t="n">
        <f aca="false">C17+B18</f>
        <v>23333.3333333333</v>
      </c>
      <c r="D18" s="26" t="n">
        <f aca="false">MAX($B$4-C18,0)</f>
        <v>36666.6666666667</v>
      </c>
      <c r="E18" s="31" t="n">
        <f aca="false">IF($B$4=0,0,MIN(C18/$B$4,1))</f>
        <v>0.388888888888889</v>
      </c>
    </row>
    <row r="19" customFormat="false" ht="13.5" hidden="false" customHeight="true" outlineLevel="0" collapsed="false">
      <c r="A19" s="8" t="s">
        <v>113</v>
      </c>
      <c r="B19" s="26" t="n">
        <f aca="false">$B$7</f>
        <v>2291.66666666667</v>
      </c>
      <c r="C19" s="26" t="n">
        <f aca="false">C18+B19</f>
        <v>25625</v>
      </c>
      <c r="D19" s="26" t="n">
        <f aca="false">MAX($B$4-C19,0)</f>
        <v>34375</v>
      </c>
      <c r="E19" s="31" t="n">
        <f aca="false">IF($B$4=0,0,MIN(C19/$B$4,1))</f>
        <v>0.427083333333333</v>
      </c>
    </row>
    <row r="20" customFormat="false" ht="13.5" hidden="false" customHeight="true" outlineLevel="0" collapsed="false">
      <c r="A20" s="25" t="s">
        <v>114</v>
      </c>
      <c r="B20" s="26" t="n">
        <f aca="false">$B$7</f>
        <v>2291.66666666667</v>
      </c>
      <c r="C20" s="26" t="n">
        <f aca="false">C19+B20</f>
        <v>27916.6666666667</v>
      </c>
      <c r="D20" s="26" t="n">
        <f aca="false">MAX($B$4-C20,0)</f>
        <v>32083.3333333333</v>
      </c>
      <c r="E20" s="31" t="n">
        <f aca="false">IF($B$4=0,0,MIN(C20/$B$4,1))</f>
        <v>0.465277777777778</v>
      </c>
    </row>
    <row r="21" customFormat="false" ht="13.5" hidden="false" customHeight="true" outlineLevel="0" collapsed="false">
      <c r="A21" s="8" t="s">
        <v>115</v>
      </c>
      <c r="B21" s="26" t="n">
        <f aca="false">$B$7</f>
        <v>2291.66666666667</v>
      </c>
      <c r="C21" s="26" t="n">
        <f aca="false">C20+B21</f>
        <v>30208.3333333333</v>
      </c>
      <c r="D21" s="26" t="n">
        <f aca="false">MAX($B$4-C21,0)</f>
        <v>29791.6666666667</v>
      </c>
      <c r="E21" s="31" t="n">
        <f aca="false">IF($B$4=0,0,MIN(C21/$B$4,1))</f>
        <v>0.503472222222222</v>
      </c>
    </row>
    <row r="22" customFormat="false" ht="13.5" hidden="false" customHeight="true" outlineLevel="0" collapsed="false">
      <c r="A22" s="25" t="s">
        <v>116</v>
      </c>
      <c r="B22" s="26" t="n">
        <f aca="false">$B$7</f>
        <v>2291.66666666667</v>
      </c>
      <c r="C22" s="26" t="n">
        <f aca="false">C21+B22</f>
        <v>32500</v>
      </c>
      <c r="D22" s="26" t="n">
        <f aca="false">MAX($B$4-C22,0)</f>
        <v>27500</v>
      </c>
      <c r="E22" s="31" t="n">
        <f aca="false">IF($B$4=0,0,MIN(C22/$B$4,1))</f>
        <v>0.541666666666667</v>
      </c>
    </row>
    <row r="23" customFormat="false" ht="13.5" hidden="false" customHeight="true" outlineLevel="0" collapsed="false">
      <c r="A23" s="8" t="s">
        <v>117</v>
      </c>
      <c r="B23" s="26" t="n">
        <f aca="false">$B$7</f>
        <v>2291.66666666667</v>
      </c>
      <c r="C23" s="26" t="n">
        <f aca="false">C22+B23</f>
        <v>34791.6666666667</v>
      </c>
      <c r="D23" s="26" t="n">
        <f aca="false">MAX($B$4-C23,0)</f>
        <v>25208.3333333333</v>
      </c>
      <c r="E23" s="31" t="n">
        <f aca="false">IF($B$4=0,0,MIN(C23/$B$4,1))</f>
        <v>0.579861111111111</v>
      </c>
    </row>
    <row r="24" customFormat="false" ht="13.5" hidden="false" customHeight="true" outlineLevel="0" collapsed="false">
      <c r="A24" s="25" t="s">
        <v>118</v>
      </c>
      <c r="B24" s="26" t="n">
        <f aca="false">$B$7</f>
        <v>2291.66666666667</v>
      </c>
      <c r="C24" s="26" t="n">
        <f aca="false">C23+B24</f>
        <v>37083.3333333333</v>
      </c>
      <c r="D24" s="26" t="n">
        <f aca="false">MAX($B$4-C24,0)</f>
        <v>22916.6666666667</v>
      </c>
      <c r="E24" s="31" t="n">
        <f aca="false">IF($B$4=0,0,MIN(C24/$B$4,1))</f>
        <v>0.618055555555556</v>
      </c>
    </row>
    <row r="25" customFormat="false" ht="13.5" hidden="false" customHeight="true" outlineLevel="0" collapsed="false">
      <c r="A25" s="8" t="s">
        <v>119</v>
      </c>
      <c r="B25" s="26" t="n">
        <f aca="false">$B$7</f>
        <v>2291.66666666667</v>
      </c>
      <c r="C25" s="26" t="n">
        <f aca="false">C24+B25</f>
        <v>39375</v>
      </c>
      <c r="D25" s="26" t="n">
        <f aca="false">MAX($B$4-C25,0)</f>
        <v>20625</v>
      </c>
      <c r="E25" s="31" t="n">
        <f aca="false">IF($B$4=0,0,MIN(C25/$B$4,1))</f>
        <v>0.65625</v>
      </c>
    </row>
    <row r="26" customFormat="false" ht="13.5" hidden="false" customHeight="true" outlineLevel="0" collapsed="false">
      <c r="A26" s="25" t="s">
        <v>120</v>
      </c>
      <c r="B26" s="26" t="n">
        <f aca="false">$B$7</f>
        <v>2291.66666666667</v>
      </c>
      <c r="C26" s="26" t="n">
        <f aca="false">C25+B26</f>
        <v>41666.6666666667</v>
      </c>
      <c r="D26" s="26" t="n">
        <f aca="false">MAX($B$4-C26,0)</f>
        <v>18333.3333333333</v>
      </c>
      <c r="E26" s="31" t="n">
        <f aca="false">IF($B$4=0,0,MIN(C26/$B$4,1))</f>
        <v>0.694444444444444</v>
      </c>
    </row>
    <row r="27" customFormat="false" ht="13.5" hidden="false" customHeight="true" outlineLevel="0" collapsed="false">
      <c r="A27" s="8" t="s">
        <v>121</v>
      </c>
      <c r="B27" s="26" t="n">
        <f aca="false">$B$7</f>
        <v>2291.66666666667</v>
      </c>
      <c r="C27" s="26" t="n">
        <f aca="false">C26+B27</f>
        <v>43958.3333333333</v>
      </c>
      <c r="D27" s="26" t="n">
        <f aca="false">MAX($B$4-C27,0)</f>
        <v>16041.6666666667</v>
      </c>
      <c r="E27" s="31" t="n">
        <f aca="false">IF($B$4=0,0,MIN(C27/$B$4,1))</f>
        <v>0.732638888888889</v>
      </c>
    </row>
    <row r="28" customFormat="false" ht="13.5" hidden="false" customHeight="true" outlineLevel="0" collapsed="false">
      <c r="A28" s="25" t="s">
        <v>122</v>
      </c>
      <c r="B28" s="26" t="n">
        <f aca="false">$B$7</f>
        <v>2291.66666666667</v>
      </c>
      <c r="C28" s="26" t="n">
        <f aca="false">C27+B28</f>
        <v>46250</v>
      </c>
      <c r="D28" s="26" t="n">
        <f aca="false">MAX($B$4-C28,0)</f>
        <v>13750</v>
      </c>
      <c r="E28" s="31" t="n">
        <f aca="false">IF($B$4=0,0,MIN(C28/$B$4,1))</f>
        <v>0.770833333333333</v>
      </c>
    </row>
    <row r="29" customFormat="false" ht="13.5" hidden="false" customHeight="true" outlineLevel="0" collapsed="false">
      <c r="A29" s="8" t="s">
        <v>123</v>
      </c>
      <c r="B29" s="26" t="n">
        <f aca="false">$B$7</f>
        <v>2291.66666666667</v>
      </c>
      <c r="C29" s="26" t="n">
        <f aca="false">C28+B29</f>
        <v>48541.6666666667</v>
      </c>
      <c r="D29" s="26" t="n">
        <f aca="false">MAX($B$4-C29,0)</f>
        <v>11458.3333333333</v>
      </c>
      <c r="E29" s="31" t="n">
        <f aca="false">IF($B$4=0,0,MIN(C29/$B$4,1))</f>
        <v>0.809027777777778</v>
      </c>
    </row>
    <row r="30" customFormat="false" ht="13.5" hidden="false" customHeight="true" outlineLevel="0" collapsed="false">
      <c r="A30" s="25" t="s">
        <v>124</v>
      </c>
      <c r="B30" s="26" t="n">
        <f aca="false">$B$7</f>
        <v>2291.66666666667</v>
      </c>
      <c r="C30" s="26" t="n">
        <f aca="false">C29+B30</f>
        <v>50833.3333333333</v>
      </c>
      <c r="D30" s="26" t="n">
        <f aca="false">MAX($B$4-C30,0)</f>
        <v>9166.66666666668</v>
      </c>
      <c r="E30" s="31" t="n">
        <f aca="false">IF($B$4=0,0,MIN(C30/$B$4,1))</f>
        <v>0.847222222222222</v>
      </c>
    </row>
    <row r="31" customFormat="false" ht="13.5" hidden="false" customHeight="true" outlineLevel="0" collapsed="false">
      <c r="A31" s="8" t="s">
        <v>125</v>
      </c>
      <c r="B31" s="26" t="n">
        <f aca="false">$B$7</f>
        <v>2291.66666666667</v>
      </c>
      <c r="C31" s="26" t="n">
        <f aca="false">C30+B31</f>
        <v>53125</v>
      </c>
      <c r="D31" s="26" t="n">
        <f aca="false">MAX($B$4-C31,0)</f>
        <v>6875.00000000002</v>
      </c>
      <c r="E31" s="31" t="n">
        <f aca="false">IF($B$4=0,0,MIN(C31/$B$4,1))</f>
        <v>0.885416666666666</v>
      </c>
    </row>
    <row r="32" customFormat="false" ht="13.5" hidden="false" customHeight="true" outlineLevel="0" collapsed="false">
      <c r="A32" s="25" t="s">
        <v>126</v>
      </c>
      <c r="B32" s="26" t="n">
        <f aca="false">$B$7</f>
        <v>2291.66666666667</v>
      </c>
      <c r="C32" s="26" t="n">
        <f aca="false">C31+B32</f>
        <v>55416.6666666667</v>
      </c>
      <c r="D32" s="26" t="n">
        <f aca="false">MAX($B$4-C32,0)</f>
        <v>4583.33333333335</v>
      </c>
      <c r="E32" s="31" t="n">
        <f aca="false">IF($B$4=0,0,MIN(C32/$B$4,1))</f>
        <v>0.923611111111111</v>
      </c>
    </row>
    <row r="33" customFormat="false" ht="13.5" hidden="false" customHeight="true" outlineLevel="0" collapsed="false">
      <c r="A33" s="8" t="s">
        <v>127</v>
      </c>
      <c r="B33" s="26" t="n">
        <f aca="false">$B$7</f>
        <v>2291.66666666667</v>
      </c>
      <c r="C33" s="26" t="n">
        <f aca="false">C32+B33</f>
        <v>57708.3333333333</v>
      </c>
      <c r="D33" s="26" t="n">
        <f aca="false">MAX($B$4-C33,0)</f>
        <v>2291.66666666669</v>
      </c>
      <c r="E33" s="31" t="n">
        <f aca="false">IF($B$4=0,0,MIN(C33/$B$4,1))</f>
        <v>0.961805555555555</v>
      </c>
    </row>
    <row r="34" customFormat="false" ht="13.5" hidden="false" customHeight="true" outlineLevel="0" collapsed="false">
      <c r="A34" s="25" t="s">
        <v>128</v>
      </c>
      <c r="B34" s="26" t="n">
        <f aca="false">$B$7</f>
        <v>2291.66666666667</v>
      </c>
      <c r="C34" s="26" t="n">
        <f aca="false">C33+B34</f>
        <v>60000</v>
      </c>
      <c r="D34" s="26" t="n">
        <f aca="false">MAX($B$4-C34,0)</f>
        <v>0</v>
      </c>
      <c r="E34" s="31" t="n">
        <f aca="false">IF($B$4=0,0,MIN(C34/$B$4,1))</f>
        <v>1</v>
      </c>
    </row>
    <row r="36" customFormat="false" ht="15" hidden="false" customHeight="false" outlineLevel="0" collapsed="false">
      <c r="A36" s="17" t="s">
        <v>33</v>
      </c>
    </row>
    <row r="37" customFormat="false" ht="12.75" hidden="false" customHeight="true" outlineLevel="0" collapsed="false">
      <c r="A37" s="18" t="s">
        <v>34</v>
      </c>
    </row>
    <row r="38" customFormat="false" ht="12.75" hidden="false" customHeight="true" outlineLevel="0" collapsed="false">
      <c r="A38" s="19" t="s">
        <v>35</v>
      </c>
    </row>
    <row r="39" customFormat="false" ht="12.75" hidden="false" customHeight="true" outlineLevel="0" collapsed="false">
      <c r="A39" s="20" t="s">
        <v>36</v>
      </c>
    </row>
    <row r="40" customFormat="false" ht="12.75" hidden="false" customHeight="true" outlineLevel="0" collapsed="false">
      <c r="A40" s="21" t="s">
        <v>37</v>
      </c>
    </row>
  </sheetData>
  <mergeCells count="3">
    <mergeCell ref="A1:E1"/>
    <mergeCell ref="A3:E3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2026-06-12T08:01:11Z</dcterms:created>
  <dc:creator>openpyxl</dc:creator>
  <dc:description/>
  <dc:language>en-US</dc:language>
  <cp:lastModifiedBy/>
  <dcterms:modified xsi:type="dcterms:W3CDTF">2026-06-12T08:01:11Z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