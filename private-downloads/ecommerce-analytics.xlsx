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8A93E356-7CD2-4EDF-A054-54ADF3195D2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لوحة المتجر" sheetId="2" r:id="rId2"/>
    <sheet name="تحليل المنتجات" sheetId="3" r:id="rId3"/>
    <sheet name="تحليل العملاء RFM" sheetId="4" r:id="rId4"/>
    <sheet name="إدارة المخزون" sheetId="5" r:id="rId5"/>
    <sheet name="خطة النمو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6" l="1"/>
  <c r="E14" i="6" s="1"/>
  <c r="B14" i="6"/>
  <c r="E10" i="6"/>
  <c r="E9" i="6"/>
  <c r="D9" i="6"/>
  <c r="E8" i="6"/>
  <c r="D8" i="6"/>
  <c r="E7" i="6"/>
  <c r="D7" i="6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4" i="5"/>
  <c r="I4" i="5"/>
  <c r="H4" i="5"/>
  <c r="J3" i="5"/>
  <c r="I3" i="5"/>
  <c r="H3" i="5"/>
  <c r="H11" i="5" s="1"/>
  <c r="G13" i="4"/>
  <c r="F13" i="4"/>
  <c r="E13" i="4"/>
  <c r="H13" i="4" s="1"/>
  <c r="G12" i="4"/>
  <c r="F12" i="4"/>
  <c r="E12" i="4"/>
  <c r="H12" i="4" s="1"/>
  <c r="G11" i="4"/>
  <c r="F11" i="4"/>
  <c r="E11" i="4"/>
  <c r="H11" i="4" s="1"/>
  <c r="G10" i="4"/>
  <c r="F10" i="4"/>
  <c r="E10" i="4"/>
  <c r="H10" i="4" s="1"/>
  <c r="G9" i="4"/>
  <c r="F9" i="4"/>
  <c r="E9" i="4"/>
  <c r="H9" i="4" s="1"/>
  <c r="G8" i="4"/>
  <c r="F8" i="4"/>
  <c r="E8" i="4"/>
  <c r="H8" i="4" s="1"/>
  <c r="G7" i="4"/>
  <c r="F7" i="4"/>
  <c r="E7" i="4"/>
  <c r="H7" i="4" s="1"/>
  <c r="G6" i="4"/>
  <c r="F6" i="4"/>
  <c r="E6" i="4"/>
  <c r="H6" i="4" s="1"/>
  <c r="G5" i="4"/>
  <c r="F5" i="4"/>
  <c r="E5" i="4"/>
  <c r="H5" i="4" s="1"/>
  <c r="G4" i="4"/>
  <c r="F4" i="4"/>
  <c r="E4" i="4"/>
  <c r="H4" i="4" s="1"/>
  <c r="C13" i="3"/>
  <c r="J12" i="3"/>
  <c r="G12" i="3"/>
  <c r="I12" i="3" s="1"/>
  <c r="F12" i="3"/>
  <c r="G11" i="3"/>
  <c r="I11" i="3" s="1"/>
  <c r="F11" i="3"/>
  <c r="J11" i="3" s="1"/>
  <c r="I10" i="3"/>
  <c r="H10" i="3"/>
  <c r="G10" i="3"/>
  <c r="F10" i="3"/>
  <c r="J10" i="3" s="1"/>
  <c r="J9" i="3"/>
  <c r="I9" i="3"/>
  <c r="G9" i="3"/>
  <c r="H9" i="3" s="1"/>
  <c r="F9" i="3"/>
  <c r="G8" i="3"/>
  <c r="I8" i="3" s="1"/>
  <c r="F8" i="3"/>
  <c r="J8" i="3" s="1"/>
  <c r="H7" i="3"/>
  <c r="G7" i="3"/>
  <c r="I7" i="3" s="1"/>
  <c r="F7" i="3"/>
  <c r="J7" i="3" s="1"/>
  <c r="J6" i="3"/>
  <c r="I6" i="3"/>
  <c r="H6" i="3"/>
  <c r="G6" i="3"/>
  <c r="F6" i="3"/>
  <c r="G5" i="3"/>
  <c r="H5" i="3" s="1"/>
  <c r="F5" i="3"/>
  <c r="F13" i="3" s="1"/>
  <c r="J4" i="3"/>
  <c r="G4" i="3"/>
  <c r="I4" i="3" s="1"/>
  <c r="F4" i="3"/>
  <c r="G3" i="3"/>
  <c r="I3" i="3" s="1"/>
  <c r="F3" i="3"/>
  <c r="J3" i="3" s="1"/>
  <c r="B23" i="2"/>
  <c r="B22" i="2"/>
  <c r="B21" i="2"/>
  <c r="B20" i="2"/>
  <c r="B19" i="2"/>
  <c r="B18" i="2"/>
  <c r="K4" i="2"/>
  <c r="I4" i="2"/>
  <c r="G4" i="2"/>
  <c r="E4" i="2"/>
  <c r="C4" i="2"/>
  <c r="A4" i="2"/>
  <c r="I13" i="3" l="1"/>
  <c r="H3" i="3"/>
  <c r="H11" i="3"/>
  <c r="I5" i="3"/>
  <c r="J5" i="3"/>
  <c r="H4" i="3"/>
  <c r="H12" i="3"/>
  <c r="F14" i="6"/>
  <c r="B15" i="6"/>
  <c r="H8" i="3"/>
  <c r="F15" i="6"/>
  <c r="D15" i="6" l="1"/>
  <c r="E15" i="6" s="1"/>
  <c r="B16" i="6"/>
  <c r="F16" i="6"/>
  <c r="B17" i="6" l="1"/>
  <c r="D16" i="6"/>
  <c r="E16" i="6" s="1"/>
  <c r="D17" i="6" l="1"/>
  <c r="E17" i="6" s="1"/>
  <c r="B18" i="6"/>
  <c r="F17" i="6"/>
  <c r="F18" i="6"/>
  <c r="B19" i="6" l="1"/>
  <c r="D18" i="6"/>
  <c r="E18" i="6" s="1"/>
  <c r="D19" i="6" l="1"/>
  <c r="E19" i="6" s="1"/>
  <c r="B20" i="6"/>
  <c r="F20" i="6"/>
  <c r="F19" i="6"/>
  <c r="B21" i="6" l="1"/>
  <c r="D20" i="6"/>
  <c r="E20" i="6" s="1"/>
  <c r="D21" i="6" l="1"/>
  <c r="E21" i="6" s="1"/>
  <c r="B22" i="6"/>
  <c r="F22" i="6"/>
  <c r="F21" i="6"/>
  <c r="B23" i="6" l="1"/>
  <c r="D22" i="6"/>
  <c r="E22" i="6" s="1"/>
  <c r="D23" i="6" l="1"/>
  <c r="E23" i="6" s="1"/>
  <c r="B24" i="6"/>
  <c r="F23" i="6"/>
  <c r="B25" i="6" l="1"/>
  <c r="D24" i="6"/>
  <c r="E24" i="6" s="1"/>
  <c r="F24" i="6"/>
  <c r="D25" i="6" l="1"/>
  <c r="E25" i="6" s="1"/>
  <c r="F25" i="6"/>
</calcChain>
</file>

<file path=xl/sharedStrings.xml><?xml version="1.0" encoding="utf-8"?>
<sst xmlns="http://schemas.openxmlformats.org/spreadsheetml/2006/main" count="208" uniqueCount="173">
  <si>
    <t>أدوات تحليل التجارة الإلكترونية والمتجر الإلكتروني</t>
  </si>
  <si>
    <t>حلّل متجرك · تتبع مبيعاتك · اكتشف فرص النمو · قرارات مبنية على بيانات</t>
  </si>
  <si>
    <t>📊 لوحة المبيعات</t>
  </si>
  <si>
    <t>🛒 تحليل المنتجات</t>
  </si>
  <si>
    <t>👤 تحليل العملاء</t>
  </si>
  <si>
    <t>KPIs المتجر دفعة واحدة</t>
  </si>
  <si>
    <t>أيها يبيع وأيها يخسر</t>
  </si>
  <si>
    <t>RFM وقيمة العميل</t>
  </si>
  <si>
    <t>📦 إدارة المخزون</t>
  </si>
  <si>
    <t>💰 تحليل الربحية</t>
  </si>
  <si>
    <t>📈 خطة النمو</t>
  </si>
  <si>
    <t>متى تطلب؟ كم تطلب؟</t>
  </si>
  <si>
    <t>هامشك الحقيقي بعد كل التكاليف</t>
  </si>
  <si>
    <t>مضاعفة إيراداتك</t>
  </si>
  <si>
    <t>لوحة تحكم المتجر الإلكتروني – الشهر الحالي</t>
  </si>
  <si>
    <t>إجمالي الإيراد</t>
  </si>
  <si>
    <t>عدد الطلبات</t>
  </si>
  <si>
    <t>متوسط قيمة الطلب</t>
  </si>
  <si>
    <t>معدل التحويل %</t>
  </si>
  <si>
    <t>عدد الزوار</t>
  </si>
  <si>
    <t>معدل الارتجاع %</t>
  </si>
  <si>
    <t>أدخل بيانات الشهر</t>
  </si>
  <si>
    <t>إجمالي الإيراد (ريال)</t>
  </si>
  <si>
    <t>تكلفة الإعلانات (ريال)</t>
  </si>
  <si>
    <t>تكلفة الشحن الإجمالية (ريال)</t>
  </si>
  <si>
    <t>تكلفة المنتجات المباعة (ريال)</t>
  </si>
  <si>
    <t>مصاريف المنصة والعمولات (ريال)</t>
  </si>
  <si>
    <t>المؤشرات المحسوبة</t>
  </si>
  <si>
    <t>صافي الربح (ريال)</t>
  </si>
  <si>
    <t>هامش الربح الصافي %</t>
  </si>
  <si>
    <t>تكلفة اكتساب العميل CAC (ريال)</t>
  </si>
  <si>
    <t>ROAS (العائد على الإنفاق الإعلاني)</t>
  </si>
  <si>
    <t>متوسط تكلفة الشحن/طلب (ريال)</t>
  </si>
  <si>
    <t>هامش المساهمة %</t>
  </si>
  <si>
    <t>متابعة الأداء الشهري</t>
  </si>
  <si>
    <t>الشهر</t>
  </si>
  <si>
    <t>ينا</t>
  </si>
  <si>
    <t>فبر</t>
  </si>
  <si>
    <t>مار</t>
  </si>
  <si>
    <t>أبر</t>
  </si>
  <si>
    <t>ماي</t>
  </si>
  <si>
    <t>يون</t>
  </si>
  <si>
    <t>يول</t>
  </si>
  <si>
    <t>أغس</t>
  </si>
  <si>
    <t>سبت</t>
  </si>
  <si>
    <t>أكت</t>
  </si>
  <si>
    <t>نوف</t>
  </si>
  <si>
    <t>ديس</t>
  </si>
  <si>
    <t>الإيراد (ريال)</t>
  </si>
  <si>
    <t>الطلبات</t>
  </si>
  <si>
    <t>الربح (ريال)</t>
  </si>
  <si>
    <t>هامش %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</si>
  <si>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</si>
  <si>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</si>
  <si>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</si>
  <si>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</si>
  <si>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</si>
  <si>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تحليل أداء المنتجات – أيها يبيع وأيها يخسر</t>
  </si>
  <si>
    <t>اسم المنتج</t>
  </si>
  <si>
    <t>الفئة</t>
  </si>
  <si>
    <t>الكمية المباعة</t>
  </si>
  <si>
    <t>سعر البيع (ريال)</t>
  </si>
  <si>
    <t>تكلفة الوحدة (ريال)</t>
  </si>
  <si>
    <t>الإيراد الكلي (ريال)</t>
  </si>
  <si>
    <t>هامش الوحدة (ريال)</t>
  </si>
  <si>
    <t>الربح الكلي (ريال)</t>
  </si>
  <si>
    <t>تصنيف ABC</t>
  </si>
  <si>
    <t>عباءة كلاسيكية سوداء</t>
  </si>
  <si>
    <t>ملابس</t>
  </si>
  <si>
    <t>عطر عود فاخر 50مل</t>
  </si>
  <si>
    <t>عطور</t>
  </si>
  <si>
    <t>حقيبة جلد يد</t>
  </si>
  <si>
    <t>إكسسوار</t>
  </si>
  <si>
    <t>كريم ترطيب طبيعي</t>
  </si>
  <si>
    <t>عناية</t>
  </si>
  <si>
    <t>شال كشمير</t>
  </si>
  <si>
    <t>مسبحة عقيق</t>
  </si>
  <si>
    <t>بخور دار الطيب</t>
  </si>
  <si>
    <t>قهوة عربية فاخرة 250ج</t>
  </si>
  <si>
    <t>أغذية</t>
  </si>
  <si>
    <t>تمر مجدول 1كج</t>
  </si>
  <si>
    <t>سجادة صلاة مطرزة</t>
  </si>
  <si>
    <t>منزلية</t>
  </si>
  <si>
    <t>الإجمالي</t>
  </si>
  <si>
    <t>تحليل العملاء – نموذج RFM (الحداثة · التكرار · القيمة)</t>
  </si>
  <si>
    <t>R = آخر شراء | F = تكرار الشراء | M = إجمالي الإنفاق | كلما ارتفع المجموع كلما كان العميل أثمن</t>
  </si>
  <si>
    <t>اسم العميل</t>
  </si>
  <si>
    <t>أيام منذ آخر شراء</t>
  </si>
  <si>
    <t>إجمالي الإنفاق (ريال)</t>
  </si>
  <si>
    <t>درجة R (1-5)</t>
  </si>
  <si>
    <t>درجة F (1-5)</t>
  </si>
  <si>
    <t>درجة M (1-5)</t>
  </si>
  <si>
    <t>تصنيف العميل</t>
  </si>
  <si>
    <t>محمد العمري</t>
  </si>
  <si>
    <t>سارة القحطاني</t>
  </si>
  <si>
    <t>أحمد الشمري</t>
  </si>
  <si>
    <t>نورة السبيعي</t>
  </si>
  <si>
    <t>خالد الدوسري</t>
  </si>
  <si>
    <t>ريم العتيبي</t>
  </si>
  <si>
    <t>عبدالله الحربي</t>
  </si>
  <si>
    <t>فاطمة الزهراني</t>
  </si>
  <si>
    <t>سعد المطيري</t>
  </si>
  <si>
    <t>هند البقمي</t>
  </si>
  <si>
    <t>استراتيجية التعامل مع كل شريحة</t>
  </si>
  <si>
    <t>👑 VIP</t>
  </si>
  <si>
    <t>حافظ على العلاقة – برنامج ولاء خاص – معاملة مميزة</t>
  </si>
  <si>
    <t>⭐ وفي</t>
  </si>
  <si>
    <t>عروض حصرية – اطلب توصياتهم – هم سفراؤك</t>
  </si>
  <si>
    <t>✅ نشط</t>
  </si>
  <si>
    <t>نشّطهم بعروض وقتية – شجعهم على الشراء أكثر</t>
  </si>
  <si>
    <t>🔄 متكرر</t>
  </si>
  <si>
    <t>اقترح منتجات مشابهة – برنامج نقاط</t>
  </si>
  <si>
    <t>⚠️ في خطر</t>
  </si>
  <si>
    <t>حملة إعادة استهداف – عرض خاص لإرجاعهم</t>
  </si>
  <si>
    <t>نظام إدارة وتتبع المخزون</t>
  </si>
  <si>
    <t>الرمز</t>
  </si>
  <si>
    <t>المخزون الحالي</t>
  </si>
  <si>
    <t>المخزون الأدنى</t>
  </si>
  <si>
    <t>نقطة إعادة الطلب</t>
  </si>
  <si>
    <t>الكمية المقترحة للطلب</t>
  </si>
  <si>
    <t>سعر التكلفة (ريال)</t>
  </si>
  <si>
    <t>قيمة المخزون (ريال)</t>
  </si>
  <si>
    <t>حالة المخزون</t>
  </si>
  <si>
    <t>الإجراء المطلوب</t>
  </si>
  <si>
    <t>عباءة كلاسيكية</t>
  </si>
  <si>
    <t>ABY-001</t>
  </si>
  <si>
    <t>عطر عود فاخر</t>
  </si>
  <si>
    <t>ATR-002</t>
  </si>
  <si>
    <t>حقيبة جلد</t>
  </si>
  <si>
    <t>HQB-003</t>
  </si>
  <si>
    <t>كريم ترطيب</t>
  </si>
  <si>
    <t>KRM-004</t>
  </si>
  <si>
    <t>SHL-005</t>
  </si>
  <si>
    <t>MSB-006</t>
  </si>
  <si>
    <t>بخور دار</t>
  </si>
  <si>
    <t>BKH-007</t>
  </si>
  <si>
    <t>قهوة عربية</t>
  </si>
  <si>
    <t>QHW-008</t>
  </si>
  <si>
    <t>إجمالي قيمة المخزون</t>
  </si>
  <si>
    <t>خطة مضاعفة إيراد متجرك الإلكتروني</t>
  </si>
  <si>
    <t>الإيراد الشهري الحالي (ريال)</t>
  </si>
  <si>
    <t>الهدف (مضاعفة)</t>
  </si>
  <si>
    <t>محركات النمو الثلاثة</t>
  </si>
  <si>
    <t>المحرك</t>
  </si>
  <si>
    <t>القيمة الحالية</t>
  </si>
  <si>
    <t>الهدف</t>
  </si>
  <si>
    <t>التحسين المطلوب</t>
  </si>
  <si>
    <t>التأثير على الإيراد</t>
  </si>
  <si>
    <t>الإجراءات</t>
  </si>
  <si>
    <t>عدد الزوار الشهريين</t>
  </si>
  <si>
    <t>SEO + إعلانات مدفوعة + سوشيال ميديا</t>
  </si>
  <si>
    <t>تحسين صفحات المنتجات + تسريع الموقع + سهولة الدفع</t>
  </si>
  <si>
    <t>متوسط قيمة الطلب (ريال)</t>
  </si>
  <si>
    <t>بيع مكمّل (Upsell) + حزم المنتجات + شحن مجاني عند حد معين</t>
  </si>
  <si>
    <t>الإيراد المتوقع بعد التحسين</t>
  </si>
  <si>
    <t>مشروع نمو 12 شهراً</t>
  </si>
  <si>
    <t>الإيراد المتوقع (ريال)</t>
  </si>
  <si>
    <t>النمو الشهري %</t>
  </si>
  <si>
    <t>الزوار المستهدفون</t>
  </si>
  <si>
    <t>الطلبات المستهدفة</t>
  </si>
  <si>
    <t>الهدف التراكمي (ريال)</t>
  </si>
  <si>
    <t>الشهر 1</t>
  </si>
  <si>
    <t>الشهر 2</t>
  </si>
  <si>
    <t>الشهر 3</t>
  </si>
  <si>
    <t>الشهر 4</t>
  </si>
  <si>
    <t>الشهر 5</t>
  </si>
  <si>
    <t>الشهر 6</t>
  </si>
  <si>
    <t>الشهر 7</t>
  </si>
  <si>
    <t>الشهر 8</t>
  </si>
  <si>
    <t>الشهر 9</t>
  </si>
  <si>
    <t>الشهر 10</t>
  </si>
  <si>
    <t>الشهر 11</t>
  </si>
  <si>
    <t>الشهر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</si>
</sst>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0.0\x"/>
    <numFmt numFmtId="167" formatCode="0\x"/>
  </numFmts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1F3864"/>
      <name val="Arial"/>
      <charset val="1"/>
    </font>
    <font>
      <b/>
      <sz val="10"/>
      <color rgb="FF375623"/>
      <name val="Arial"/>
      <charset val="1"/>
    </font>
    <font>
      <b/>
      <sz val="8"/>
      <color rgb="FFFFFFFF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sz val="9"/>
      <name val="Arial"/>
      <charset val="1"/>
    </font>
    <font>
      <i/>
      <sz val="9"/>
      <color rgb="FF2E5FA3"/>
      <name val="Arial"/>
      <charset val="1"/>
    </font>
    <font>
      <b/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3" fontId="7" fillId="5" borderId="2" xfId="0" applyNumberFormat="1" applyFont="1" applyFill="1" applyBorder="1" applyAlignment="1" applyProtection="1">
      <alignment horizontal="center" vertical="center" wrapText="1"/>
      <protection locked="0"/>
    </xf>
    <xf numFmtId="164" fontId="7" fillId="5" borderId="2" xfId="0" applyNumberFormat="1" applyFont="1" applyFill="1" applyBorder="1" applyAlignment="1" applyProtection="1">
      <alignment horizontal="center" vertical="center" wrapText="1"/>
      <protection locked="0"/>
    </xf>
    <xf numFmtId="165" fontId="7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9" fillId="6" borderId="3" xfId="0" applyFont="1" applyFill="1" applyBorder="1" applyAlignment="1" applyProtection="1">
      <alignment horizontal="left" vertical="center" wrapText="1"/>
      <protection locked="0"/>
    </xf>
    <xf numFmtId="3" fontId="10" fillId="5" borderId="3" xfId="0" applyNumberFormat="1" applyFont="1" applyFill="1" applyBorder="1" applyAlignment="1" applyProtection="1">
      <alignment horizontal="right" vertical="center"/>
      <protection locked="0"/>
    </xf>
    <xf numFmtId="165" fontId="10" fillId="5" borderId="3" xfId="0" applyNumberFormat="1" applyFont="1" applyFill="1" applyBorder="1" applyAlignment="1" applyProtection="1">
      <alignment horizontal="right" vertical="center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11" fillId="5" borderId="3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13" fillId="4" borderId="3" xfId="0" applyFont="1" applyFill="1" applyBorder="1" applyAlignment="1" applyProtection="1">
      <alignment horizontal="center" vertical="center" wrapText="1"/>
      <protection locked="0"/>
    </xf>
    <xf numFmtId="0" fontId="9" fillId="5" borderId="3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Protection="1">
      <protection locked="0"/>
    </xf>
    <xf numFmtId="0" fontId="15" fillId="5" borderId="3" xfId="0" applyFont="1" applyFill="1" applyBorder="1" applyProtection="1">
      <protection locked="0"/>
    </xf>
    <xf numFmtId="0" fontId="16" fillId="8" borderId="3" xfId="0" applyFont="1" applyFill="1" applyBorder="1" applyProtection="1">
      <protection locked="0"/>
    </xf>
    <xf numFmtId="0" fontId="17" fillId="7" borderId="3" xfId="0" applyFont="1" applyFill="1" applyBorder="1" applyProtection="1">
      <protection locked="0"/>
    </xf>
    <xf numFmtId="0" fontId="18" fillId="9" borderId="3" xfId="0" applyFont="1" applyFill="1" applyBorder="1" applyProtection="1">
      <protection locked="0"/>
    </xf>
    <xf numFmtId="3" fontId="12" fillId="7" borderId="4" xfId="0" applyNumberFormat="1" applyFont="1" applyFill="1" applyBorder="1" applyAlignment="1" applyProtection="1">
      <alignment horizontal="right" vertical="center"/>
      <protection locked="0" hidden="1"/>
    </xf>
    <xf numFmtId="165" fontId="12" fillId="7" borderId="4" xfId="0" applyNumberFormat="1" applyFont="1" applyFill="1" applyBorder="1" applyAlignment="1" applyProtection="1">
      <alignment horizontal="right" vertical="center"/>
      <protection locked="0" hidden="1"/>
    </xf>
    <xf numFmtId="164" fontId="12" fillId="7" borderId="4" xfId="0" applyNumberFormat="1" applyFont="1" applyFill="1" applyBorder="1" applyAlignment="1" applyProtection="1">
      <alignment horizontal="right" vertical="center"/>
      <protection locked="0" hidden="1"/>
    </xf>
    <xf numFmtId="166" fontId="12" fillId="7" borderId="4" xfId="0" applyNumberFormat="1" applyFont="1" applyFill="1" applyBorder="1" applyAlignment="1" applyProtection="1">
      <alignment horizontal="right" vertical="center"/>
      <protection locked="0" hidden="1"/>
    </xf>
    <xf numFmtId="49" fontId="10" fillId="5" borderId="3" xfId="0" applyNumberFormat="1" applyFont="1" applyFill="1" applyBorder="1" applyAlignment="1" applyProtection="1">
      <alignment horizontal="right" vertical="center"/>
      <protection locked="0"/>
    </xf>
    <xf numFmtId="4" fontId="10" fillId="5" borderId="3" xfId="0" applyNumberFormat="1" applyFont="1" applyFill="1" applyBorder="1" applyAlignment="1" applyProtection="1">
      <alignment horizontal="right" vertical="center"/>
      <protection locked="0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3" fontId="9" fillId="8" borderId="3" xfId="0" applyNumberFormat="1" applyFont="1" applyFill="1" applyBorder="1" applyAlignment="1" applyProtection="1">
      <alignment horizontal="right" vertical="center"/>
      <protection locked="0" hidden="1"/>
    </xf>
    <xf numFmtId="4" fontId="9" fillId="8" borderId="3" xfId="0" applyNumberFormat="1" applyFont="1" applyFill="1" applyBorder="1" applyAlignment="1" applyProtection="1">
      <alignment horizontal="right" vertical="center"/>
      <protection locked="0" hidden="1"/>
    </xf>
    <xf numFmtId="165" fontId="9" fillId="8" borderId="3" xfId="0" applyNumberFormat="1" applyFont="1" applyFill="1" applyBorder="1" applyAlignment="1" applyProtection="1">
      <alignment horizontal="right" vertical="center"/>
      <protection locked="0" hidden="1"/>
    </xf>
    <xf numFmtId="0" fontId="19" fillId="6" borderId="3" xfId="0" applyFont="1" applyFill="1" applyBorder="1" applyAlignment="1" applyProtection="1">
      <alignment horizontal="center" vertical="center" wrapText="1"/>
      <protection locked="0" hidden="1"/>
    </xf>
    <xf numFmtId="4" fontId="12" fillId="7" borderId="4" xfId="0" applyNumberFormat="1" applyFont="1" applyFill="1" applyBorder="1" applyAlignment="1" applyProtection="1">
      <alignment horizontal="right" vertical="center"/>
      <protection locked="0" hidden="1"/>
    </xf>
    <xf numFmtId="0" fontId="0" fillId="0" borderId="0" xfId="0" applyProtection="1">
      <protection locked="0" hidden="1"/>
    </xf>
    <xf numFmtId="0" fontId="20" fillId="0" borderId="0" xfId="0" applyFont="1" applyAlignment="1" applyProtection="1">
      <alignment horizontal="center" vertical="center" wrapText="1"/>
      <protection locked="0"/>
    </xf>
    <xf numFmtId="1" fontId="10" fillId="5" borderId="3" xfId="0" applyNumberFormat="1" applyFont="1" applyFill="1" applyBorder="1" applyAlignment="1" applyProtection="1">
      <alignment horizontal="right" vertical="center"/>
      <protection locked="0"/>
    </xf>
    <xf numFmtId="0" fontId="11" fillId="5" borderId="1" xfId="0" applyFont="1" applyFill="1" applyBorder="1" applyAlignment="1" applyProtection="1">
      <alignment horizontal="left" vertical="center" wrapText="1"/>
      <protection locked="0"/>
    </xf>
    <xf numFmtId="0" fontId="9" fillId="8" borderId="1" xfId="0" applyFont="1" applyFill="1" applyBorder="1" applyAlignment="1" applyProtection="1">
      <alignment horizontal="left" vertical="center" wrapText="1"/>
      <protection locked="0"/>
    </xf>
    <xf numFmtId="1" fontId="9" fillId="8" borderId="3" xfId="0" applyNumberFormat="1" applyFont="1" applyFill="1" applyBorder="1" applyAlignment="1" applyProtection="1">
      <alignment horizontal="right" vertical="center"/>
      <protection locked="0" hidden="1"/>
    </xf>
    <xf numFmtId="0" fontId="21" fillId="6" borderId="3" xfId="0" applyFont="1" applyFill="1" applyBorder="1" applyAlignment="1" applyProtection="1">
      <alignment horizontal="center" vertical="center" wrapText="1"/>
      <protection locked="0" hidden="1"/>
    </xf>
    <xf numFmtId="49" fontId="10" fillId="9" borderId="3" xfId="0" applyNumberFormat="1" applyFont="1" applyFill="1" applyBorder="1" applyAlignment="1" applyProtection="1">
      <alignment horizontal="right" vertical="center"/>
      <protection locked="0"/>
    </xf>
    <xf numFmtId="3" fontId="10" fillId="9" borderId="3" xfId="0" applyNumberFormat="1" applyFont="1" applyFill="1" applyBorder="1" applyAlignment="1" applyProtection="1">
      <alignment horizontal="right" vertical="center"/>
      <protection locked="0"/>
    </xf>
    <xf numFmtId="4" fontId="10" fillId="9" borderId="3" xfId="0" applyNumberFormat="1" applyFont="1" applyFill="1" applyBorder="1" applyAlignment="1" applyProtection="1">
      <alignment horizontal="right" vertical="center"/>
      <protection locked="0"/>
    </xf>
    <xf numFmtId="0" fontId="19" fillId="6" borderId="3" xfId="0" applyFont="1" applyFill="1" applyBorder="1" applyAlignment="1" applyProtection="1">
      <alignment horizontal="left" vertical="center" wrapText="1"/>
      <protection locked="0" hidden="1"/>
    </xf>
    <xf numFmtId="3" fontId="9" fillId="9" borderId="3" xfId="0" applyNumberFormat="1" applyFont="1" applyFill="1" applyBorder="1" applyAlignment="1" applyProtection="1">
      <alignment horizontal="right" vertical="center"/>
      <protection locked="0" hidden="1"/>
    </xf>
    <xf numFmtId="0" fontId="21" fillId="9" borderId="3" xfId="0" applyFont="1" applyFill="1" applyBorder="1" applyAlignment="1" applyProtection="1">
      <alignment horizontal="center" vertical="center" wrapText="1"/>
      <protection locked="0" hidden="1"/>
    </xf>
    <xf numFmtId="0" fontId="19" fillId="9" borderId="3" xfId="0" applyFont="1" applyFill="1" applyBorder="1" applyAlignment="1" applyProtection="1">
      <alignment horizontal="left" vertical="center" wrapText="1"/>
      <protection locked="0" hidden="1"/>
    </xf>
    <xf numFmtId="167" fontId="10" fillId="5" borderId="3" xfId="0" applyNumberFormat="1" applyFont="1" applyFill="1" applyBorder="1" applyAlignment="1" applyProtection="1">
      <alignment horizontal="right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rightToLeft="1" zoomScale="63" zoomScaleNormal="100" workbookViewId="0">
      <selection activeCell="B10" sqref="B10"/>
    </sheetView>
  </sheetViews>
  <sheetFormatPr defaultColWidth="8.6328125" defaultRowHeight="14.5" x14ac:dyDescent="0.35"/>
  <cols>
    <col min="1" max="1" width="24" style="7" customWidth="1"/>
    <col min="2" max="2" width="10" style="7" customWidth="1"/>
    <col min="3" max="12" width="8" style="7" customWidth="1"/>
    <col min="13" max="16384" width="8.6328125" style="7"/>
  </cols>
  <sheetData>
    <row r="1" spans="1:12" ht="27.75" customHeight="1" x14ac:dyDescent="0.35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19.5" customHeight="1" x14ac:dyDescent="0.35">
      <c r="A3" s="8" t="s">
        <v>15</v>
      </c>
      <c r="B3" s="8"/>
      <c r="C3" s="8" t="s">
        <v>16</v>
      </c>
      <c r="D3" s="8"/>
      <c r="E3" s="8" t="s">
        <v>17</v>
      </c>
      <c r="F3" s="8"/>
      <c r="G3" s="8" t="s">
        <v>18</v>
      </c>
      <c r="H3" s="8"/>
      <c r="I3" s="8" t="s">
        <v>19</v>
      </c>
      <c r="J3" s="8"/>
      <c r="K3" s="8" t="s">
        <v>20</v>
      </c>
      <c r="L3" s="8"/>
    </row>
    <row r="4" spans="1:12" ht="27.75" customHeight="1" x14ac:dyDescent="0.35">
      <c r="A4" s="9">
        <f>B5</f>
        <v>0</v>
      </c>
      <c r="B4" s="9"/>
      <c r="C4" s="9">
        <f>B6</f>
        <v>85000</v>
      </c>
      <c r="D4" s="9"/>
      <c r="E4" s="10">
        <f>IF(B6=0,0,B5/B6)</f>
        <v>0</v>
      </c>
      <c r="F4" s="10"/>
      <c r="G4" s="11">
        <f>B8</f>
        <v>0</v>
      </c>
      <c r="H4" s="11"/>
      <c r="I4" s="9">
        <f>B9</f>
        <v>3.2000000000000001E-2</v>
      </c>
      <c r="J4" s="9"/>
      <c r="K4" s="11">
        <f>B10</f>
        <v>10625</v>
      </c>
      <c r="L4" s="11"/>
    </row>
    <row r="5" spans="1:12" ht="21.75" customHeight="1" x14ac:dyDescent="0.35">
      <c r="A5" s="12" t="s">
        <v>21</v>
      </c>
      <c r="B5" s="12"/>
      <c r="C5" s="12"/>
      <c r="D5" s="12"/>
      <c r="E5" s="12"/>
      <c r="F5" s="12"/>
    </row>
    <row r="6" spans="1:12" ht="16.5" customHeight="1" x14ac:dyDescent="0.35">
      <c r="A6" s="13" t="s">
        <v>22</v>
      </c>
      <c r="B6" s="14">
        <v>85000</v>
      </c>
    </row>
    <row r="7" spans="1:12" ht="16.5" customHeight="1" x14ac:dyDescent="0.35">
      <c r="A7" s="13" t="s">
        <v>16</v>
      </c>
      <c r="B7" s="14">
        <v>340</v>
      </c>
    </row>
    <row r="8" spans="1:12" ht="6" customHeight="1" x14ac:dyDescent="0.35"/>
    <row r="9" spans="1:12" ht="16.5" customHeight="1" x14ac:dyDescent="0.35">
      <c r="A9" s="13" t="s">
        <v>18</v>
      </c>
      <c r="B9" s="15">
        <v>3.2000000000000001E-2</v>
      </c>
    </row>
    <row r="10" spans="1:12" ht="16.5" customHeight="1" x14ac:dyDescent="0.35">
      <c r="A10" s="13" t="s">
        <v>19</v>
      </c>
      <c r="B10" s="14">
        <v>10625</v>
      </c>
    </row>
    <row r="11" spans="1:12" ht="16.5" customHeight="1" x14ac:dyDescent="0.35">
      <c r="A11" s="13" t="s">
        <v>20</v>
      </c>
      <c r="B11" s="15">
        <v>8.5000000000000006E-2</v>
      </c>
    </row>
    <row r="12" spans="1:12" ht="16.5" customHeight="1" x14ac:dyDescent="0.35">
      <c r="A12" s="13" t="s">
        <v>23</v>
      </c>
      <c r="B12" s="14">
        <v>8500</v>
      </c>
    </row>
    <row r="13" spans="1:12" ht="16.5" customHeight="1" x14ac:dyDescent="0.35">
      <c r="A13" s="13" t="s">
        <v>24</v>
      </c>
      <c r="B13" s="14">
        <v>4200</v>
      </c>
    </row>
    <row r="14" spans="1:12" ht="16.5" customHeight="1" x14ac:dyDescent="0.35">
      <c r="A14" s="13" t="s">
        <v>25</v>
      </c>
      <c r="B14" s="14">
        <v>42500</v>
      </c>
    </row>
    <row r="15" spans="1:12" ht="16.5" customHeight="1" x14ac:dyDescent="0.35">
      <c r="A15" s="13" t="s">
        <v>26</v>
      </c>
      <c r="B15" s="14">
        <v>2550</v>
      </c>
    </row>
    <row r="17" spans="1:13" ht="21.75" customHeight="1" x14ac:dyDescent="0.35">
      <c r="A17" s="16" t="s">
        <v>27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 ht="18" customHeight="1" x14ac:dyDescent="0.35">
      <c r="A18" s="17" t="s">
        <v>28</v>
      </c>
      <c r="B18" s="26">
        <f>B5-B13-B14-B15-B16</f>
        <v>-49250</v>
      </c>
    </row>
    <row r="19" spans="1:13" ht="18" customHeight="1" x14ac:dyDescent="0.35">
      <c r="A19" s="17" t="s">
        <v>29</v>
      </c>
      <c r="B19" s="27">
        <f>IF(B5=0,0,(B5-B13-B14-B15-B16)/B5)</f>
        <v>0</v>
      </c>
    </row>
    <row r="20" spans="1:13" ht="18" customHeight="1" x14ac:dyDescent="0.35">
      <c r="A20" s="17" t="s">
        <v>30</v>
      </c>
      <c r="B20" s="28">
        <f>IF(B6=0,0,B13/B6)</f>
        <v>4.9411764705882349E-2</v>
      </c>
    </row>
    <row r="21" spans="1:13" ht="18" customHeight="1" x14ac:dyDescent="0.35">
      <c r="A21" s="17" t="s">
        <v>31</v>
      </c>
      <c r="B21" s="29">
        <f>IF(B13=0,0,B5/B13)</f>
        <v>0</v>
      </c>
    </row>
    <row r="22" spans="1:13" ht="18" customHeight="1" x14ac:dyDescent="0.35">
      <c r="A22" s="17" t="s">
        <v>32</v>
      </c>
      <c r="B22" s="28">
        <f>IF(B6=0,0,B14/B6)</f>
        <v>0.5</v>
      </c>
    </row>
    <row r="23" spans="1:13" ht="18" customHeight="1" x14ac:dyDescent="0.35">
      <c r="A23" s="17" t="s">
        <v>33</v>
      </c>
      <c r="B23" s="27">
        <f>IF(B5=0,0,(B5-B15-B14)/B5)</f>
        <v>0</v>
      </c>
    </row>
    <row r="25" spans="1:13" ht="21.75" customHeight="1" x14ac:dyDescent="0.35">
      <c r="A25" s="12" t="s">
        <v>34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3" ht="19.5" customHeight="1" x14ac:dyDescent="0.35">
      <c r="A26" s="18" t="s">
        <v>35</v>
      </c>
      <c r="B26" s="19" t="s">
        <v>36</v>
      </c>
      <c r="C26" s="19" t="s">
        <v>37</v>
      </c>
      <c r="D26" s="19" t="s">
        <v>38</v>
      </c>
      <c r="E26" s="19" t="s">
        <v>39</v>
      </c>
      <c r="F26" s="19" t="s">
        <v>40</v>
      </c>
      <c r="G26" s="19" t="s">
        <v>41</v>
      </c>
      <c r="H26" s="19" t="s">
        <v>42</v>
      </c>
      <c r="I26" s="19" t="s">
        <v>43</v>
      </c>
      <c r="J26" s="19" t="s">
        <v>44</v>
      </c>
      <c r="K26" s="19" t="s">
        <v>45</v>
      </c>
      <c r="L26" s="19" t="s">
        <v>46</v>
      </c>
      <c r="M26" s="19" t="s">
        <v>47</v>
      </c>
    </row>
    <row r="27" spans="1:13" ht="15.75" customHeight="1" x14ac:dyDescent="0.35">
      <c r="A27" s="20" t="s">
        <v>48</v>
      </c>
      <c r="B27" s="14">
        <v>85000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</row>
    <row r="28" spans="1:13" ht="15.75" customHeight="1" x14ac:dyDescent="0.35">
      <c r="A28" s="20" t="s">
        <v>49</v>
      </c>
      <c r="B28" s="14">
        <v>340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 spans="1:13" ht="15.75" customHeight="1" x14ac:dyDescent="0.35">
      <c r="A29" s="20" t="s">
        <v>50</v>
      </c>
      <c r="B29" s="14">
        <v>27250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</row>
    <row r="30" spans="1:13" ht="15.75" customHeight="1" x14ac:dyDescent="0.35">
      <c r="A30" s="20" t="s">
        <v>51</v>
      </c>
      <c r="B30" s="15">
        <v>0.32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2" spans="1:13" x14ac:dyDescent="0.35">
      <c r="A32" s="21" t="s">
        <v>52</v>
      </c>
    </row>
    <row r="33" spans="1:1" ht="12.75" customHeight="1" x14ac:dyDescent="0.35">
      <c r="A33" s="22" t="s">
        <v>53</v>
      </c>
    </row>
    <row r="34" spans="1:1" ht="12.75" customHeight="1" x14ac:dyDescent="0.35">
      <c r="A34" s="23" t="s">
        <v>54</v>
      </c>
    </row>
    <row r="35" spans="1:1" ht="12.75" customHeight="1" x14ac:dyDescent="0.35">
      <c r="A35" s="24" t="s">
        <v>55</v>
      </c>
    </row>
    <row r="36" spans="1:1" ht="12.75" customHeight="1" x14ac:dyDescent="0.35">
      <c r="A36" s="25" t="s">
        <v>56</v>
      </c>
    </row>
  </sheetData>
  <sheetProtection algorithmName="SHA-512" hashValue="L1/TvmWtNYnctAvgSBN+7+247Mtx/J3RPPkRvmkXUAhB3LCU+ykjUZLe/TI7aaRqLCNawT0fN6QUkG55WDyPYw==" saltValue="xJtRxyKk68XxtZeDa8pQjg==" spinCount="100000" sheet="1" objects="1" scenarios="1"/>
  <mergeCells count="16">
    <mergeCell ref="K4:L4"/>
    <mergeCell ref="A5:F5"/>
    <mergeCell ref="A17:L17"/>
    <mergeCell ref="A25:L25"/>
    <mergeCell ref="A4:B4"/>
    <mergeCell ref="C4:D4"/>
    <mergeCell ref="E4:F4"/>
    <mergeCell ref="G4:H4"/>
    <mergeCell ref="I4:J4"/>
    <mergeCell ref="A1:L1"/>
    <mergeCell ref="A3:B3"/>
    <mergeCell ref="C3:D3"/>
    <mergeCell ref="E3:F3"/>
    <mergeCell ref="G3:H3"/>
    <mergeCell ref="I3:J3"/>
    <mergeCell ref="K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rightToLeft="1" zoomScaleNormal="100" workbookViewId="0">
      <selection activeCell="I13" sqref="C13:I13"/>
    </sheetView>
  </sheetViews>
  <sheetFormatPr defaultColWidth="8.6328125" defaultRowHeight="14.5" x14ac:dyDescent="0.35"/>
  <cols>
    <col min="1" max="1" width="22" style="7" customWidth="1"/>
    <col min="2" max="3" width="12" style="7" customWidth="1"/>
    <col min="4" max="7" width="14" style="7" customWidth="1"/>
    <col min="8" max="8" width="10" style="7" customWidth="1"/>
    <col min="9" max="9" width="14" style="7" customWidth="1"/>
    <col min="10" max="10" width="16" style="7" customWidth="1"/>
    <col min="11" max="16384" width="8.6328125" style="7"/>
  </cols>
  <sheetData>
    <row r="1" spans="1:10" ht="27.75" customHeight="1" x14ac:dyDescent="0.35">
      <c r="A1" s="6" t="s">
        <v>57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5">
      <c r="A2" s="18" t="s">
        <v>58</v>
      </c>
      <c r="B2" s="18" t="s">
        <v>59</v>
      </c>
      <c r="C2" s="18" t="s">
        <v>60</v>
      </c>
      <c r="D2" s="18" t="s">
        <v>61</v>
      </c>
      <c r="E2" s="18" t="s">
        <v>62</v>
      </c>
      <c r="F2" s="18" t="s">
        <v>63</v>
      </c>
      <c r="G2" s="18" t="s">
        <v>64</v>
      </c>
      <c r="H2" s="18" t="s">
        <v>51</v>
      </c>
      <c r="I2" s="18" t="s">
        <v>65</v>
      </c>
      <c r="J2" s="18" t="s">
        <v>66</v>
      </c>
    </row>
    <row r="3" spans="1:10" ht="15.75" customHeight="1" x14ac:dyDescent="0.35">
      <c r="A3" s="30" t="s">
        <v>67</v>
      </c>
      <c r="B3" s="30" t="s">
        <v>68</v>
      </c>
      <c r="C3" s="14">
        <v>45</v>
      </c>
      <c r="D3" s="31">
        <v>180</v>
      </c>
      <c r="E3" s="31">
        <v>85</v>
      </c>
      <c r="F3" s="33">
        <f t="shared" ref="F3:F12" si="0">C3*D3</f>
        <v>8100</v>
      </c>
      <c r="G3" s="34">
        <f t="shared" ref="G3:G12" si="1">D3-E3</f>
        <v>95</v>
      </c>
      <c r="H3" s="35">
        <f t="shared" ref="H3:H12" si="2">IF(D3=0,0,G3/D3)</f>
        <v>0.52777777777777779</v>
      </c>
      <c r="I3" s="33">
        <f t="shared" ref="I3:I12" si="3">C3*G3</f>
        <v>4275</v>
      </c>
      <c r="J3" s="36" t="str">
        <f t="shared" ref="J3:J12" si="4">IF(RANK(F3,F$3:F$12,0)&lt;=3,"🅰️ A – نجم",IF(RANK(F3,F$3:F$12,0)&lt;=7,"🅱️ B – جيد","🅲 C – راجع"))</f>
        <v>🅱️ B – جيد</v>
      </c>
    </row>
    <row r="4" spans="1:10" ht="15.75" customHeight="1" x14ac:dyDescent="0.35">
      <c r="A4" s="30" t="s">
        <v>69</v>
      </c>
      <c r="B4" s="30" t="s">
        <v>70</v>
      </c>
      <c r="C4" s="14">
        <v>28</v>
      </c>
      <c r="D4" s="31">
        <v>320</v>
      </c>
      <c r="E4" s="31">
        <v>140</v>
      </c>
      <c r="F4" s="33">
        <f t="shared" si="0"/>
        <v>8960</v>
      </c>
      <c r="G4" s="34">
        <f t="shared" si="1"/>
        <v>180</v>
      </c>
      <c r="H4" s="35">
        <f t="shared" si="2"/>
        <v>0.5625</v>
      </c>
      <c r="I4" s="33">
        <f t="shared" si="3"/>
        <v>5040</v>
      </c>
      <c r="J4" s="36" t="str">
        <f t="shared" si="4"/>
        <v>🅰️ A – نجم</v>
      </c>
    </row>
    <row r="5" spans="1:10" ht="15.75" customHeight="1" x14ac:dyDescent="0.35">
      <c r="A5" s="30" t="s">
        <v>71</v>
      </c>
      <c r="B5" s="30" t="s">
        <v>72</v>
      </c>
      <c r="C5" s="14">
        <v>15</v>
      </c>
      <c r="D5" s="31">
        <v>450</v>
      </c>
      <c r="E5" s="31">
        <v>200</v>
      </c>
      <c r="F5" s="33">
        <f t="shared" si="0"/>
        <v>6750</v>
      </c>
      <c r="G5" s="34">
        <f t="shared" si="1"/>
        <v>250</v>
      </c>
      <c r="H5" s="35">
        <f t="shared" si="2"/>
        <v>0.55555555555555558</v>
      </c>
      <c r="I5" s="33">
        <f t="shared" si="3"/>
        <v>3750</v>
      </c>
      <c r="J5" s="36" t="str">
        <f t="shared" si="4"/>
        <v>🅱️ B – جيد</v>
      </c>
    </row>
    <row r="6" spans="1:10" ht="15.75" customHeight="1" x14ac:dyDescent="0.35">
      <c r="A6" s="30" t="s">
        <v>73</v>
      </c>
      <c r="B6" s="30" t="s">
        <v>74</v>
      </c>
      <c r="C6" s="14">
        <v>67</v>
      </c>
      <c r="D6" s="31">
        <v>89</v>
      </c>
      <c r="E6" s="31">
        <v>35</v>
      </c>
      <c r="F6" s="33">
        <f t="shared" si="0"/>
        <v>5963</v>
      </c>
      <c r="G6" s="34">
        <f t="shared" si="1"/>
        <v>54</v>
      </c>
      <c r="H6" s="35">
        <f t="shared" si="2"/>
        <v>0.6067415730337079</v>
      </c>
      <c r="I6" s="33">
        <f t="shared" si="3"/>
        <v>3618</v>
      </c>
      <c r="J6" s="36" t="str">
        <f t="shared" si="4"/>
        <v>🅱️ B – جيد</v>
      </c>
    </row>
    <row r="7" spans="1:10" ht="15.75" customHeight="1" x14ac:dyDescent="0.35">
      <c r="A7" s="30" t="s">
        <v>75</v>
      </c>
      <c r="B7" s="30" t="s">
        <v>68</v>
      </c>
      <c r="C7" s="14">
        <v>22</v>
      </c>
      <c r="D7" s="31">
        <v>250</v>
      </c>
      <c r="E7" s="31">
        <v>110</v>
      </c>
      <c r="F7" s="33">
        <f t="shared" si="0"/>
        <v>5500</v>
      </c>
      <c r="G7" s="34">
        <f t="shared" si="1"/>
        <v>140</v>
      </c>
      <c r="H7" s="35">
        <f t="shared" si="2"/>
        <v>0.56000000000000005</v>
      </c>
      <c r="I7" s="33">
        <f t="shared" si="3"/>
        <v>3080</v>
      </c>
      <c r="J7" s="36" t="str">
        <f t="shared" si="4"/>
        <v>🅱️ B – جيد</v>
      </c>
    </row>
    <row r="8" spans="1:10" ht="15.75" customHeight="1" x14ac:dyDescent="0.35">
      <c r="A8" s="30" t="s">
        <v>76</v>
      </c>
      <c r="B8" s="30" t="s">
        <v>72</v>
      </c>
      <c r="C8" s="14">
        <v>38</v>
      </c>
      <c r="D8" s="31">
        <v>120</v>
      </c>
      <c r="E8" s="31">
        <v>45</v>
      </c>
      <c r="F8" s="33">
        <f t="shared" si="0"/>
        <v>4560</v>
      </c>
      <c r="G8" s="34">
        <f t="shared" si="1"/>
        <v>75</v>
      </c>
      <c r="H8" s="35">
        <f t="shared" si="2"/>
        <v>0.625</v>
      </c>
      <c r="I8" s="33">
        <f t="shared" si="3"/>
        <v>2850</v>
      </c>
      <c r="J8" s="36" t="str">
        <f t="shared" si="4"/>
        <v>🅲 C – راجع</v>
      </c>
    </row>
    <row r="9" spans="1:10" ht="15.75" customHeight="1" x14ac:dyDescent="0.35">
      <c r="A9" s="30" t="s">
        <v>77</v>
      </c>
      <c r="B9" s="30" t="s">
        <v>70</v>
      </c>
      <c r="C9" s="14">
        <v>55</v>
      </c>
      <c r="D9" s="31">
        <v>65</v>
      </c>
      <c r="E9" s="31">
        <v>22</v>
      </c>
      <c r="F9" s="33">
        <f t="shared" si="0"/>
        <v>3575</v>
      </c>
      <c r="G9" s="34">
        <f t="shared" si="1"/>
        <v>43</v>
      </c>
      <c r="H9" s="35">
        <f t="shared" si="2"/>
        <v>0.66153846153846152</v>
      </c>
      <c r="I9" s="33">
        <f t="shared" si="3"/>
        <v>2365</v>
      </c>
      <c r="J9" s="36" t="str">
        <f t="shared" si="4"/>
        <v>🅲 C – راجع</v>
      </c>
    </row>
    <row r="10" spans="1:10" ht="15.75" customHeight="1" x14ac:dyDescent="0.35">
      <c r="A10" s="30" t="s">
        <v>78</v>
      </c>
      <c r="B10" s="30" t="s">
        <v>79</v>
      </c>
      <c r="C10" s="14">
        <v>89</v>
      </c>
      <c r="D10" s="31">
        <v>95</v>
      </c>
      <c r="E10" s="31">
        <v>38</v>
      </c>
      <c r="F10" s="33">
        <f t="shared" si="0"/>
        <v>8455</v>
      </c>
      <c r="G10" s="34">
        <f t="shared" si="1"/>
        <v>57</v>
      </c>
      <c r="H10" s="35">
        <f t="shared" si="2"/>
        <v>0.6</v>
      </c>
      <c r="I10" s="33">
        <f t="shared" si="3"/>
        <v>5073</v>
      </c>
      <c r="J10" s="36" t="str">
        <f t="shared" si="4"/>
        <v>🅰️ A – نجم</v>
      </c>
    </row>
    <row r="11" spans="1:10" ht="15.75" customHeight="1" x14ac:dyDescent="0.35">
      <c r="A11" s="30" t="s">
        <v>80</v>
      </c>
      <c r="B11" s="30" t="s">
        <v>79</v>
      </c>
      <c r="C11" s="14">
        <v>112</v>
      </c>
      <c r="D11" s="31">
        <v>85</v>
      </c>
      <c r="E11" s="31">
        <v>30</v>
      </c>
      <c r="F11" s="33">
        <f t="shared" si="0"/>
        <v>9520</v>
      </c>
      <c r="G11" s="34">
        <f t="shared" si="1"/>
        <v>55</v>
      </c>
      <c r="H11" s="35">
        <f t="shared" si="2"/>
        <v>0.6470588235294118</v>
      </c>
      <c r="I11" s="33">
        <f t="shared" si="3"/>
        <v>6160</v>
      </c>
      <c r="J11" s="36" t="str">
        <f t="shared" si="4"/>
        <v>🅰️ A – نجم</v>
      </c>
    </row>
    <row r="12" spans="1:10" ht="15.75" customHeight="1" x14ac:dyDescent="0.35">
      <c r="A12" s="30" t="s">
        <v>81</v>
      </c>
      <c r="B12" s="30" t="s">
        <v>82</v>
      </c>
      <c r="C12" s="14">
        <v>33</v>
      </c>
      <c r="D12" s="31">
        <v>165</v>
      </c>
      <c r="E12" s="31">
        <v>72</v>
      </c>
      <c r="F12" s="33">
        <f t="shared" si="0"/>
        <v>5445</v>
      </c>
      <c r="G12" s="34">
        <f t="shared" si="1"/>
        <v>93</v>
      </c>
      <c r="H12" s="35">
        <f t="shared" si="2"/>
        <v>0.5636363636363636</v>
      </c>
      <c r="I12" s="33">
        <f t="shared" si="3"/>
        <v>3069</v>
      </c>
      <c r="J12" s="36" t="str">
        <f t="shared" si="4"/>
        <v>🅲 C – راجع</v>
      </c>
    </row>
    <row r="13" spans="1:10" ht="19.5" customHeight="1" x14ac:dyDescent="0.35">
      <c r="A13" s="32" t="s">
        <v>83</v>
      </c>
      <c r="B13" s="32"/>
      <c r="C13" s="37">
        <f>SUM(C3:C12)</f>
        <v>504</v>
      </c>
      <c r="D13" s="38"/>
      <c r="E13" s="38"/>
      <c r="F13" s="37">
        <f>SUM(F3:F12)</f>
        <v>66828</v>
      </c>
      <c r="G13" s="38"/>
      <c r="H13" s="38"/>
      <c r="I13" s="37">
        <f>SUM(I3:I12)</f>
        <v>39280</v>
      </c>
    </row>
    <row r="15" spans="1:10" x14ac:dyDescent="0.35">
      <c r="A15" s="21" t="s">
        <v>52</v>
      </c>
    </row>
    <row r="16" spans="1:10" ht="12.75" customHeight="1" x14ac:dyDescent="0.35">
      <c r="A16" s="22" t="s">
        <v>53</v>
      </c>
    </row>
    <row r="17" spans="1:1" ht="12.75" customHeight="1" x14ac:dyDescent="0.35">
      <c r="A17" s="23" t="s">
        <v>54</v>
      </c>
    </row>
    <row r="18" spans="1:1" ht="12.75" customHeight="1" x14ac:dyDescent="0.35">
      <c r="A18" s="24" t="s">
        <v>55</v>
      </c>
    </row>
    <row r="19" spans="1:1" ht="12.75" customHeight="1" x14ac:dyDescent="0.35">
      <c r="A19" s="25" t="s">
        <v>56</v>
      </c>
    </row>
  </sheetData>
  <sheetProtection algorithmName="SHA-512" hashValue="kp4qRLQ1Brj6EUQb/d/qcCD8ciATafY6pidzAuNQSb8IZF4FVm7uM2O+beXdAQqQNBxnmKP7A4S7mryzX+AJ5A==" saltValue="72Q+hdT6ZBA20JRmKEG6Yg==" spinCount="100000" sheet="1" objects="1" scenarios="1"/>
  <mergeCells count="2">
    <mergeCell ref="A1:J1"/>
    <mergeCell ref="A13:B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rightToLeft="1" zoomScale="76" zoomScaleNormal="100" workbookViewId="0">
      <selection activeCell="A18" sqref="A18:B18"/>
    </sheetView>
  </sheetViews>
  <sheetFormatPr defaultColWidth="8.6328125" defaultRowHeight="14.5" x14ac:dyDescent="0.35"/>
  <cols>
    <col min="1" max="1" width="18" style="7" customWidth="1"/>
    <col min="2" max="2" width="16" style="7" customWidth="1"/>
    <col min="3" max="3" width="12" style="7" customWidth="1"/>
    <col min="4" max="4" width="16" style="7" customWidth="1"/>
    <col min="5" max="7" width="12" style="7" customWidth="1"/>
    <col min="8" max="8" width="18" style="7" customWidth="1"/>
    <col min="9" max="16384" width="8.6328125" style="7"/>
  </cols>
  <sheetData>
    <row r="1" spans="1:8" ht="27.75" customHeight="1" x14ac:dyDescent="0.35">
      <c r="A1" s="6" t="s">
        <v>84</v>
      </c>
      <c r="B1" s="6"/>
      <c r="C1" s="6"/>
      <c r="D1" s="6"/>
      <c r="E1" s="6"/>
      <c r="F1" s="6"/>
      <c r="G1" s="6"/>
      <c r="H1" s="6"/>
    </row>
    <row r="2" spans="1:8" ht="15" customHeight="1" x14ac:dyDescent="0.35">
      <c r="A2" s="39" t="s">
        <v>85</v>
      </c>
      <c r="B2" s="39"/>
      <c r="C2" s="39"/>
      <c r="D2" s="39"/>
      <c r="E2" s="39"/>
      <c r="F2" s="39"/>
      <c r="G2" s="39"/>
      <c r="H2" s="39"/>
    </row>
    <row r="3" spans="1:8" ht="21.75" customHeight="1" x14ac:dyDescent="0.35">
      <c r="A3" s="18" t="s">
        <v>86</v>
      </c>
      <c r="B3" s="18" t="s">
        <v>87</v>
      </c>
      <c r="C3" s="18" t="s">
        <v>16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</row>
    <row r="4" spans="1:8" ht="15.75" customHeight="1" x14ac:dyDescent="0.35">
      <c r="A4" s="30" t="s">
        <v>93</v>
      </c>
      <c r="B4" s="40">
        <v>5</v>
      </c>
      <c r="C4" s="40">
        <v>8</v>
      </c>
      <c r="D4" s="14">
        <v>3200</v>
      </c>
      <c r="E4" s="43">
        <f t="shared" ref="E4:E13" si="0">IF(B4&lt;=7,5,IF(B4&lt;=14,4,IF(B4&lt;=30,3,IF(B4&lt;=60,2,1))))</f>
        <v>5</v>
      </c>
      <c r="F4" s="43">
        <f t="shared" ref="F4:F13" si="1">IF(C4&gt;=12,5,IF(C4&gt;=8,4,IF(C4&gt;=5,3,IF(C4&gt;=3,2,1))))</f>
        <v>4</v>
      </c>
      <c r="G4" s="43">
        <f t="shared" ref="G4:G13" si="2">IF(D4&gt;=5000,5,IF(D4&gt;=3000,4,IF(D4&gt;=1500,3,IF(D4&gt;=500,2,1))))</f>
        <v>4</v>
      </c>
      <c r="H4" s="44" t="str">
        <f t="shared" ref="H4:H13" si="3">IF(E4+F4+G4&gt;=13,"👑 عميل VIP",IF(E4+F4+G4&gt;=10,"⭐ عميل وفي",IF(E4+F4+G4&gt;=7,"✅ عميل نشط",IF(F4&gt;=3,"🔄 عميل متكرر","⚠️ عميل في خطر"))))</f>
        <v>👑 عميل VIP</v>
      </c>
    </row>
    <row r="5" spans="1:8" ht="15.75" customHeight="1" x14ac:dyDescent="0.35">
      <c r="A5" s="30" t="s">
        <v>94</v>
      </c>
      <c r="B5" s="40">
        <v>12</v>
      </c>
      <c r="C5" s="40">
        <v>12</v>
      </c>
      <c r="D5" s="14">
        <v>5600</v>
      </c>
      <c r="E5" s="43">
        <f t="shared" si="0"/>
        <v>4</v>
      </c>
      <c r="F5" s="43">
        <f t="shared" si="1"/>
        <v>5</v>
      </c>
      <c r="G5" s="43">
        <f t="shared" si="2"/>
        <v>5</v>
      </c>
      <c r="H5" s="44" t="str">
        <f t="shared" si="3"/>
        <v>👑 عميل VIP</v>
      </c>
    </row>
    <row r="6" spans="1:8" ht="15.75" customHeight="1" x14ac:dyDescent="0.35">
      <c r="A6" s="30" t="s">
        <v>95</v>
      </c>
      <c r="B6" s="40">
        <v>45</v>
      </c>
      <c r="C6" s="40">
        <v>3</v>
      </c>
      <c r="D6" s="14">
        <v>890</v>
      </c>
      <c r="E6" s="43">
        <f t="shared" si="0"/>
        <v>2</v>
      </c>
      <c r="F6" s="43">
        <f t="shared" si="1"/>
        <v>2</v>
      </c>
      <c r="G6" s="43">
        <f t="shared" si="2"/>
        <v>2</v>
      </c>
      <c r="H6" s="44" t="str">
        <f t="shared" si="3"/>
        <v>⚠️ عميل في خطر</v>
      </c>
    </row>
    <row r="7" spans="1:8" ht="15.75" customHeight="1" x14ac:dyDescent="0.35">
      <c r="A7" s="30" t="s">
        <v>96</v>
      </c>
      <c r="B7" s="40">
        <v>3</v>
      </c>
      <c r="C7" s="40">
        <v>15</v>
      </c>
      <c r="D7" s="14">
        <v>8900</v>
      </c>
      <c r="E7" s="43">
        <f t="shared" si="0"/>
        <v>5</v>
      </c>
      <c r="F7" s="43">
        <f t="shared" si="1"/>
        <v>5</v>
      </c>
      <c r="G7" s="43">
        <f t="shared" si="2"/>
        <v>5</v>
      </c>
      <c r="H7" s="44" t="str">
        <f t="shared" si="3"/>
        <v>👑 عميل VIP</v>
      </c>
    </row>
    <row r="8" spans="1:8" ht="15.75" customHeight="1" x14ac:dyDescent="0.35">
      <c r="A8" s="30" t="s">
        <v>97</v>
      </c>
      <c r="B8" s="40">
        <v>90</v>
      </c>
      <c r="C8" s="40">
        <v>2</v>
      </c>
      <c r="D8" s="14">
        <v>450</v>
      </c>
      <c r="E8" s="43">
        <f t="shared" si="0"/>
        <v>1</v>
      </c>
      <c r="F8" s="43">
        <f t="shared" si="1"/>
        <v>1</v>
      </c>
      <c r="G8" s="43">
        <f t="shared" si="2"/>
        <v>1</v>
      </c>
      <c r="H8" s="44" t="str">
        <f t="shared" si="3"/>
        <v>⚠️ عميل في خطر</v>
      </c>
    </row>
    <row r="9" spans="1:8" ht="15.75" customHeight="1" x14ac:dyDescent="0.35">
      <c r="A9" s="30" t="s">
        <v>98</v>
      </c>
      <c r="B9" s="40">
        <v>7</v>
      </c>
      <c r="C9" s="40">
        <v>6</v>
      </c>
      <c r="D9" s="14">
        <v>2100</v>
      </c>
      <c r="E9" s="43">
        <f t="shared" si="0"/>
        <v>5</v>
      </c>
      <c r="F9" s="43">
        <f t="shared" si="1"/>
        <v>3</v>
      </c>
      <c r="G9" s="43">
        <f t="shared" si="2"/>
        <v>3</v>
      </c>
      <c r="H9" s="44" t="str">
        <f t="shared" si="3"/>
        <v>⭐ عميل وفي</v>
      </c>
    </row>
    <row r="10" spans="1:8" ht="15.75" customHeight="1" x14ac:dyDescent="0.35">
      <c r="A10" s="30" t="s">
        <v>99</v>
      </c>
      <c r="B10" s="40">
        <v>180</v>
      </c>
      <c r="C10" s="40">
        <v>1</v>
      </c>
      <c r="D10" s="14">
        <v>320</v>
      </c>
      <c r="E10" s="43">
        <f t="shared" si="0"/>
        <v>1</v>
      </c>
      <c r="F10" s="43">
        <f t="shared" si="1"/>
        <v>1</v>
      </c>
      <c r="G10" s="43">
        <f t="shared" si="2"/>
        <v>1</v>
      </c>
      <c r="H10" s="44" t="str">
        <f t="shared" si="3"/>
        <v>⚠️ عميل في خطر</v>
      </c>
    </row>
    <row r="11" spans="1:8" ht="15.75" customHeight="1" x14ac:dyDescent="0.35">
      <c r="A11" s="30" t="s">
        <v>100</v>
      </c>
      <c r="B11" s="40">
        <v>25</v>
      </c>
      <c r="C11" s="40">
        <v>9</v>
      </c>
      <c r="D11" s="14">
        <v>4200</v>
      </c>
      <c r="E11" s="43">
        <f t="shared" si="0"/>
        <v>3</v>
      </c>
      <c r="F11" s="43">
        <f t="shared" si="1"/>
        <v>4</v>
      </c>
      <c r="G11" s="43">
        <f t="shared" si="2"/>
        <v>4</v>
      </c>
      <c r="H11" s="44" t="str">
        <f t="shared" si="3"/>
        <v>⭐ عميل وفي</v>
      </c>
    </row>
    <row r="12" spans="1:8" ht="15.75" customHeight="1" x14ac:dyDescent="0.35">
      <c r="A12" s="30" t="s">
        <v>101</v>
      </c>
      <c r="B12" s="40">
        <v>60</v>
      </c>
      <c r="C12" s="40">
        <v>4</v>
      </c>
      <c r="D12" s="14">
        <v>1100</v>
      </c>
      <c r="E12" s="43">
        <f t="shared" si="0"/>
        <v>2</v>
      </c>
      <c r="F12" s="43">
        <f t="shared" si="1"/>
        <v>2</v>
      </c>
      <c r="G12" s="43">
        <f t="shared" si="2"/>
        <v>2</v>
      </c>
      <c r="H12" s="44" t="str">
        <f t="shared" si="3"/>
        <v>⚠️ عميل في خطر</v>
      </c>
    </row>
    <row r="13" spans="1:8" ht="15.75" customHeight="1" x14ac:dyDescent="0.35">
      <c r="A13" s="30" t="s">
        <v>102</v>
      </c>
      <c r="B13" s="40">
        <v>8</v>
      </c>
      <c r="C13" s="40">
        <v>11</v>
      </c>
      <c r="D13" s="14">
        <v>6800</v>
      </c>
      <c r="E13" s="43">
        <f t="shared" si="0"/>
        <v>4</v>
      </c>
      <c r="F13" s="43">
        <f t="shared" si="1"/>
        <v>4</v>
      </c>
      <c r="G13" s="43">
        <f t="shared" si="2"/>
        <v>5</v>
      </c>
      <c r="H13" s="44" t="str">
        <f t="shared" si="3"/>
        <v>👑 عميل VIP</v>
      </c>
    </row>
    <row r="16" spans="1:8" ht="21.75" customHeight="1" x14ac:dyDescent="0.35">
      <c r="A16" s="12" t="s">
        <v>103</v>
      </c>
      <c r="B16" s="12"/>
      <c r="C16" s="12"/>
      <c r="D16" s="12"/>
      <c r="E16" s="12"/>
      <c r="F16" s="12"/>
      <c r="G16" s="12"/>
      <c r="H16" s="12"/>
    </row>
    <row r="17" spans="1:8" ht="16.5" customHeight="1" x14ac:dyDescent="0.35">
      <c r="A17" s="41" t="s">
        <v>104</v>
      </c>
      <c r="B17" s="41"/>
      <c r="C17" s="42" t="s">
        <v>105</v>
      </c>
      <c r="D17" s="42"/>
      <c r="E17" s="42"/>
      <c r="F17" s="42"/>
      <c r="G17" s="42"/>
      <c r="H17" s="42"/>
    </row>
    <row r="18" spans="1:8" ht="16.5" customHeight="1" x14ac:dyDescent="0.35">
      <c r="A18" s="41" t="s">
        <v>106</v>
      </c>
      <c r="B18" s="41"/>
      <c r="C18" s="42" t="s">
        <v>107</v>
      </c>
      <c r="D18" s="42"/>
      <c r="E18" s="42"/>
      <c r="F18" s="42"/>
      <c r="G18" s="42"/>
      <c r="H18" s="42"/>
    </row>
    <row r="19" spans="1:8" ht="16.5" customHeight="1" x14ac:dyDescent="0.35">
      <c r="A19" s="41" t="s">
        <v>108</v>
      </c>
      <c r="B19" s="41"/>
      <c r="C19" s="42" t="s">
        <v>109</v>
      </c>
      <c r="D19" s="42"/>
      <c r="E19" s="42"/>
      <c r="F19" s="42"/>
      <c r="G19" s="42"/>
      <c r="H19" s="42"/>
    </row>
    <row r="20" spans="1:8" ht="16.5" customHeight="1" x14ac:dyDescent="0.35">
      <c r="A20" s="41" t="s">
        <v>110</v>
      </c>
      <c r="B20" s="41"/>
      <c r="C20" s="42" t="s">
        <v>111</v>
      </c>
      <c r="D20" s="42"/>
      <c r="E20" s="42"/>
      <c r="F20" s="42"/>
      <c r="G20" s="42"/>
      <c r="H20" s="42"/>
    </row>
    <row r="21" spans="1:8" ht="16.5" customHeight="1" x14ac:dyDescent="0.35">
      <c r="A21" s="41" t="s">
        <v>112</v>
      </c>
      <c r="B21" s="41"/>
      <c r="C21" s="42" t="s">
        <v>113</v>
      </c>
      <c r="D21" s="42"/>
      <c r="E21" s="42"/>
      <c r="F21" s="42"/>
      <c r="G21" s="42"/>
      <c r="H21" s="42"/>
    </row>
    <row r="23" spans="1:8" x14ac:dyDescent="0.35">
      <c r="A23" s="21" t="s">
        <v>52</v>
      </c>
    </row>
    <row r="24" spans="1:8" ht="12.75" customHeight="1" x14ac:dyDescent="0.35">
      <c r="A24" s="22" t="s">
        <v>53</v>
      </c>
    </row>
    <row r="25" spans="1:8" ht="12.75" customHeight="1" x14ac:dyDescent="0.35">
      <c r="A25" s="23" t="s">
        <v>54</v>
      </c>
    </row>
    <row r="26" spans="1:8" ht="12.75" customHeight="1" x14ac:dyDescent="0.35">
      <c r="A26" s="24" t="s">
        <v>55</v>
      </c>
    </row>
    <row r="27" spans="1:8" ht="12.75" customHeight="1" x14ac:dyDescent="0.35">
      <c r="A27" s="25" t="s">
        <v>56</v>
      </c>
    </row>
  </sheetData>
  <sheetProtection algorithmName="SHA-512" hashValue="XoeV4idssyMUd3jpLu2WAOuxtlLPzBiaCS3H4iMyER17qhbfPuv/Muf+kqEGFNitHA/8Q94PaHv8uwyorksH0Q==" saltValue="V2oTIHfm3bsVzBZMrs2yww==" spinCount="100000" sheet="1" objects="1" scenarios="1"/>
  <mergeCells count="13">
    <mergeCell ref="A21:B21"/>
    <mergeCell ref="C21:H21"/>
    <mergeCell ref="A18:B18"/>
    <mergeCell ref="C18:H18"/>
    <mergeCell ref="A19:B19"/>
    <mergeCell ref="C19:H19"/>
    <mergeCell ref="A20:B20"/>
    <mergeCell ref="C20:H20"/>
    <mergeCell ref="A1:H1"/>
    <mergeCell ref="A2:H2"/>
    <mergeCell ref="A16:H16"/>
    <mergeCell ref="A17:B17"/>
    <mergeCell ref="C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rightToLeft="1" zoomScale="78" zoomScaleNormal="100" workbookViewId="0">
      <selection activeCell="H25" sqref="H25"/>
    </sheetView>
  </sheetViews>
  <sheetFormatPr defaultColWidth="8.6328125" defaultRowHeight="14.5" x14ac:dyDescent="0.35"/>
  <cols>
    <col min="1" max="1" width="20" style="7" customWidth="1"/>
    <col min="2" max="2" width="10" style="7" customWidth="1"/>
    <col min="3" max="4" width="12" style="7" customWidth="1"/>
    <col min="5" max="7" width="14" style="7" customWidth="1"/>
    <col min="8" max="9" width="16" style="7" customWidth="1"/>
    <col min="10" max="10" width="22" style="7" customWidth="1"/>
    <col min="11" max="16384" width="8.6328125" style="7"/>
  </cols>
  <sheetData>
    <row r="1" spans="1:10" ht="27.75" customHeight="1" x14ac:dyDescent="0.35">
      <c r="A1" s="6" t="s">
        <v>114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5">
      <c r="A2" s="18" t="s">
        <v>58</v>
      </c>
      <c r="B2" s="18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8" t="s">
        <v>120</v>
      </c>
      <c r="H2" s="18" t="s">
        <v>121</v>
      </c>
      <c r="I2" s="18" t="s">
        <v>122</v>
      </c>
      <c r="J2" s="18" t="s">
        <v>123</v>
      </c>
    </row>
    <row r="3" spans="1:10" ht="16.5" customHeight="1" x14ac:dyDescent="0.35">
      <c r="A3" s="30" t="s">
        <v>124</v>
      </c>
      <c r="B3" s="30" t="s">
        <v>125</v>
      </c>
      <c r="C3" s="14">
        <v>8</v>
      </c>
      <c r="D3" s="14">
        <v>5</v>
      </c>
      <c r="E3" s="14">
        <v>10</v>
      </c>
      <c r="F3" s="14">
        <v>20</v>
      </c>
      <c r="G3" s="31">
        <v>85</v>
      </c>
      <c r="H3" s="33">
        <f t="shared" ref="H3:H10" si="0">C3*G3</f>
        <v>680</v>
      </c>
      <c r="I3" s="44" t="str">
        <f t="shared" ref="I3:I10" si="1">IF(C3=0,"🔴 نفد المخزون",IF(C3&lt;=D3,"🟠 مخزون حرج",IF(C3&lt;=E3,"🟡 اطلب قريباً","🟢 كافٍ")))</f>
        <v>🟡 اطلب قريباً</v>
      </c>
      <c r="J3" s="48" t="str">
        <f t="shared" ref="J3:J10" si="2">IF(C3=0,"⚡ اطلب "&amp;F3&amp;" وحدة الآن",IF(C3&lt;=D3,"⚠️ اطلب "&amp;F3&amp;" وحدة عاجلاً",IF(C3&lt;=E3,"📋 اطلب "&amp;F3&amp;" وحدة قريباً","✅ لا حاجة للطلب")))</f>
        <v>📋 اطلب 20 وحدة قريباً</v>
      </c>
    </row>
    <row r="4" spans="1:10" ht="16.5" customHeight="1" x14ac:dyDescent="0.35">
      <c r="A4" s="45" t="s">
        <v>126</v>
      </c>
      <c r="B4" s="45" t="s">
        <v>127</v>
      </c>
      <c r="C4" s="46">
        <v>3</v>
      </c>
      <c r="D4" s="46">
        <v>5</v>
      </c>
      <c r="E4" s="46">
        <v>8</v>
      </c>
      <c r="F4" s="46">
        <v>15</v>
      </c>
      <c r="G4" s="47">
        <v>140</v>
      </c>
      <c r="H4" s="49">
        <f t="shared" si="0"/>
        <v>420</v>
      </c>
      <c r="I4" s="50" t="str">
        <f t="shared" si="1"/>
        <v>🟠 مخزون حرج</v>
      </c>
      <c r="J4" s="51" t="str">
        <f t="shared" si="2"/>
        <v>⚠️ اطلب 15 وحدة عاجلاً</v>
      </c>
    </row>
    <row r="5" spans="1:10" ht="16.5" customHeight="1" x14ac:dyDescent="0.35">
      <c r="A5" s="30" t="s">
        <v>128</v>
      </c>
      <c r="B5" s="30" t="s">
        <v>129</v>
      </c>
      <c r="C5" s="14">
        <v>12</v>
      </c>
      <c r="D5" s="14">
        <v>3</v>
      </c>
      <c r="E5" s="14">
        <v>6</v>
      </c>
      <c r="F5" s="14">
        <v>10</v>
      </c>
      <c r="G5" s="31">
        <v>200</v>
      </c>
      <c r="H5" s="33">
        <f t="shared" si="0"/>
        <v>2400</v>
      </c>
      <c r="I5" s="44" t="str">
        <f t="shared" si="1"/>
        <v>🟢 كافٍ</v>
      </c>
      <c r="J5" s="48" t="str">
        <f t="shared" si="2"/>
        <v>✅ لا حاجة للطلب</v>
      </c>
    </row>
    <row r="6" spans="1:10" ht="16.5" customHeight="1" x14ac:dyDescent="0.35">
      <c r="A6" s="30" t="s">
        <v>130</v>
      </c>
      <c r="B6" s="30" t="s">
        <v>131</v>
      </c>
      <c r="C6" s="14">
        <v>45</v>
      </c>
      <c r="D6" s="14">
        <v>10</v>
      </c>
      <c r="E6" s="14">
        <v>20</v>
      </c>
      <c r="F6" s="14">
        <v>30</v>
      </c>
      <c r="G6" s="31">
        <v>35</v>
      </c>
      <c r="H6" s="33">
        <f t="shared" si="0"/>
        <v>1575</v>
      </c>
      <c r="I6" s="44" t="str">
        <f t="shared" si="1"/>
        <v>🟢 كافٍ</v>
      </c>
      <c r="J6" s="48" t="str">
        <f t="shared" si="2"/>
        <v>✅ لا حاجة للطلب</v>
      </c>
    </row>
    <row r="7" spans="1:10" ht="16.5" customHeight="1" x14ac:dyDescent="0.35">
      <c r="A7" s="45" t="s">
        <v>75</v>
      </c>
      <c r="B7" s="45" t="s">
        <v>132</v>
      </c>
      <c r="C7" s="46">
        <v>0</v>
      </c>
      <c r="D7" s="46">
        <v>3</v>
      </c>
      <c r="E7" s="46">
        <v>5</v>
      </c>
      <c r="F7" s="46">
        <v>15</v>
      </c>
      <c r="G7" s="47">
        <v>110</v>
      </c>
      <c r="H7" s="49">
        <f t="shared" si="0"/>
        <v>0</v>
      </c>
      <c r="I7" s="50" t="str">
        <f t="shared" si="1"/>
        <v>🔴 نفد المخزون</v>
      </c>
      <c r="J7" s="51" t="str">
        <f t="shared" si="2"/>
        <v>⚡ اطلب 15 وحدة الآن</v>
      </c>
    </row>
    <row r="8" spans="1:10" ht="16.5" customHeight="1" x14ac:dyDescent="0.35">
      <c r="A8" s="30" t="s">
        <v>76</v>
      </c>
      <c r="B8" s="30" t="s">
        <v>133</v>
      </c>
      <c r="C8" s="14">
        <v>28</v>
      </c>
      <c r="D8" s="14">
        <v>8</v>
      </c>
      <c r="E8" s="14">
        <v>15</v>
      </c>
      <c r="F8" s="14">
        <v>20</v>
      </c>
      <c r="G8" s="31">
        <v>45</v>
      </c>
      <c r="H8" s="33">
        <f t="shared" si="0"/>
        <v>1260</v>
      </c>
      <c r="I8" s="44" t="str">
        <f t="shared" si="1"/>
        <v>🟢 كافٍ</v>
      </c>
      <c r="J8" s="48" t="str">
        <f t="shared" si="2"/>
        <v>✅ لا حاجة للطلب</v>
      </c>
    </row>
    <row r="9" spans="1:10" ht="16.5" customHeight="1" x14ac:dyDescent="0.35">
      <c r="A9" s="30" t="s">
        <v>134</v>
      </c>
      <c r="B9" s="30" t="s">
        <v>135</v>
      </c>
      <c r="C9" s="14">
        <v>15</v>
      </c>
      <c r="D9" s="14">
        <v>10</v>
      </c>
      <c r="E9" s="14">
        <v>18</v>
      </c>
      <c r="F9" s="14">
        <v>25</v>
      </c>
      <c r="G9" s="31">
        <v>22</v>
      </c>
      <c r="H9" s="33">
        <f t="shared" si="0"/>
        <v>330</v>
      </c>
      <c r="I9" s="44" t="str">
        <f t="shared" si="1"/>
        <v>🟡 اطلب قريباً</v>
      </c>
      <c r="J9" s="48" t="str">
        <f t="shared" si="2"/>
        <v>📋 اطلب 25 وحدة قريباً</v>
      </c>
    </row>
    <row r="10" spans="1:10" ht="16.5" customHeight="1" x14ac:dyDescent="0.35">
      <c r="A10" s="30" t="s">
        <v>136</v>
      </c>
      <c r="B10" s="30" t="s">
        <v>137</v>
      </c>
      <c r="C10" s="14">
        <v>67</v>
      </c>
      <c r="D10" s="14">
        <v>20</v>
      </c>
      <c r="E10" s="14">
        <v>35</v>
      </c>
      <c r="F10" s="14">
        <v>50</v>
      </c>
      <c r="G10" s="31">
        <v>38</v>
      </c>
      <c r="H10" s="33">
        <f t="shared" si="0"/>
        <v>2546</v>
      </c>
      <c r="I10" s="44" t="str">
        <f t="shared" si="1"/>
        <v>🟢 كافٍ</v>
      </c>
      <c r="J10" s="48" t="str">
        <f t="shared" si="2"/>
        <v>✅ لا حاجة للطلب</v>
      </c>
    </row>
    <row r="11" spans="1:10" ht="19.5" customHeight="1" x14ac:dyDescent="0.35">
      <c r="A11" s="32" t="s">
        <v>138</v>
      </c>
      <c r="B11" s="32"/>
      <c r="C11" s="32"/>
      <c r="D11" s="32"/>
      <c r="E11" s="32"/>
      <c r="F11" s="32"/>
      <c r="G11" s="32"/>
      <c r="H11" s="37">
        <f>SUM(H3:H10)</f>
        <v>9211</v>
      </c>
    </row>
    <row r="13" spans="1:10" x14ac:dyDescent="0.35">
      <c r="A13" s="21" t="s">
        <v>52</v>
      </c>
    </row>
    <row r="14" spans="1:10" ht="12.75" customHeight="1" x14ac:dyDescent="0.35">
      <c r="A14" s="22" t="s">
        <v>53</v>
      </c>
    </row>
    <row r="15" spans="1:10" ht="12.75" customHeight="1" x14ac:dyDescent="0.35">
      <c r="A15" s="23" t="s">
        <v>54</v>
      </c>
    </row>
    <row r="16" spans="1:10" ht="12.75" customHeight="1" x14ac:dyDescent="0.35">
      <c r="A16" s="24" t="s">
        <v>55</v>
      </c>
    </row>
    <row r="17" spans="1:1" ht="12.75" customHeight="1" x14ac:dyDescent="0.35">
      <c r="A17" s="25" t="s">
        <v>56</v>
      </c>
    </row>
  </sheetData>
  <sheetProtection algorithmName="SHA-512" hashValue="kU0YSXkr7X6Y9QJNUjkrR2R9ECSbtOjIMkXc6GarzHmUK3TANZyStj7ExGKfQemAUx4o+n/WfLGZjig/ntjoSA==" saltValue="82Khl+oGd3R3ISmPZsFEwA==" spinCount="100000" sheet="1" objects="1" scenarios="1"/>
  <mergeCells count="2">
    <mergeCell ref="A1:J1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rightToLeft="1" zoomScale="62" zoomScaleNormal="100" workbookViewId="0">
      <selection activeCell="D14" sqref="D14:F25"/>
    </sheetView>
  </sheetViews>
  <sheetFormatPr defaultColWidth="8.6328125" defaultRowHeight="14.5" x14ac:dyDescent="0.35"/>
  <cols>
    <col min="1" max="1" width="22" style="7" customWidth="1"/>
    <col min="2" max="2" width="20" style="7" customWidth="1"/>
    <col min="3" max="3" width="14" style="7" customWidth="1"/>
    <col min="4" max="5" width="16" style="7" customWidth="1"/>
    <col min="6" max="6" width="18" style="7" customWidth="1"/>
    <col min="7" max="7" width="5" style="7" customWidth="1"/>
    <col min="8" max="16384" width="8.6328125" style="7"/>
  </cols>
  <sheetData>
    <row r="1" spans="1:7" ht="27.75" customHeight="1" x14ac:dyDescent="0.35">
      <c r="A1" s="6" t="s">
        <v>139</v>
      </c>
      <c r="B1" s="6"/>
      <c r="C1" s="6"/>
      <c r="D1" s="6"/>
      <c r="E1" s="6"/>
      <c r="F1" s="6"/>
      <c r="G1" s="6"/>
    </row>
    <row r="3" spans="1:7" ht="16.5" customHeight="1" x14ac:dyDescent="0.35">
      <c r="A3" s="13" t="s">
        <v>140</v>
      </c>
      <c r="B3" s="14">
        <v>85000</v>
      </c>
      <c r="D3" s="13" t="s">
        <v>141</v>
      </c>
      <c r="E3" s="52">
        <v>2</v>
      </c>
    </row>
    <row r="5" spans="1:7" ht="21.75" customHeight="1" x14ac:dyDescent="0.35">
      <c r="A5" s="12" t="s">
        <v>142</v>
      </c>
      <c r="B5" s="12"/>
      <c r="C5" s="12"/>
      <c r="D5" s="12"/>
      <c r="E5" s="12"/>
      <c r="F5" s="12"/>
      <c r="G5" s="12"/>
    </row>
    <row r="6" spans="1:7" ht="19.5" customHeight="1" x14ac:dyDescent="0.35">
      <c r="A6" s="18" t="s">
        <v>143</v>
      </c>
      <c r="B6" s="18" t="s">
        <v>144</v>
      </c>
      <c r="C6" s="18" t="s">
        <v>145</v>
      </c>
      <c r="D6" s="18" t="s">
        <v>146</v>
      </c>
      <c r="E6" s="18" t="s">
        <v>147</v>
      </c>
      <c r="F6" s="53" t="s">
        <v>148</v>
      </c>
      <c r="G6" s="53"/>
    </row>
    <row r="7" spans="1:7" ht="16.5" customHeight="1" x14ac:dyDescent="0.35">
      <c r="A7" s="13" t="s">
        <v>149</v>
      </c>
      <c r="B7" s="14">
        <v>10625</v>
      </c>
      <c r="C7" s="14">
        <v>15000</v>
      </c>
      <c r="D7" s="33">
        <f>C7-B7</f>
        <v>4375</v>
      </c>
      <c r="E7" s="33">
        <f>(C7-B7)*B8*B9</f>
        <v>35000</v>
      </c>
      <c r="F7" s="42" t="s">
        <v>150</v>
      </c>
      <c r="G7" s="42"/>
    </row>
    <row r="8" spans="1:7" ht="16.5" customHeight="1" x14ac:dyDescent="0.35">
      <c r="A8" s="13" t="s">
        <v>18</v>
      </c>
      <c r="B8" s="15">
        <v>3.2000000000000001E-2</v>
      </c>
      <c r="C8" s="15">
        <v>4.4999999999999998E-2</v>
      </c>
      <c r="D8" s="35">
        <f>C8-B8</f>
        <v>1.2999999999999998E-2</v>
      </c>
      <c r="E8" s="33">
        <f>(C8-B8)*B7*B9</f>
        <v>34531.249999999993</v>
      </c>
      <c r="F8" s="42" t="s">
        <v>151</v>
      </c>
      <c r="G8" s="42"/>
    </row>
    <row r="9" spans="1:7" ht="16.5" customHeight="1" x14ac:dyDescent="0.35">
      <c r="A9" s="13" t="s">
        <v>152</v>
      </c>
      <c r="B9" s="14">
        <v>250</v>
      </c>
      <c r="C9" s="14">
        <v>320</v>
      </c>
      <c r="D9" s="33">
        <f>C9-B9</f>
        <v>70</v>
      </c>
      <c r="E9" s="33">
        <f>(C9-B9)*B7*B8</f>
        <v>23800</v>
      </c>
      <c r="F9" s="42" t="s">
        <v>153</v>
      </c>
      <c r="G9" s="42"/>
    </row>
    <row r="10" spans="1:7" ht="21.75" customHeight="1" x14ac:dyDescent="0.35">
      <c r="A10" s="16" t="s">
        <v>154</v>
      </c>
      <c r="B10" s="16"/>
      <c r="C10" s="16"/>
      <c r="D10" s="16"/>
      <c r="E10" s="26">
        <f>B7*B8*B9+(C7-B7)*B8*B9+(C8-B8)*B7*B9+(C9-B9)*B7*B8</f>
        <v>178331.25</v>
      </c>
    </row>
    <row r="12" spans="1:7" ht="21.75" customHeight="1" x14ac:dyDescent="0.35">
      <c r="A12" s="12" t="s">
        <v>155</v>
      </c>
      <c r="B12" s="12"/>
      <c r="C12" s="12"/>
      <c r="D12" s="12"/>
      <c r="E12" s="12"/>
      <c r="F12" s="12"/>
      <c r="G12" s="12"/>
    </row>
    <row r="13" spans="1:7" ht="19.5" customHeight="1" x14ac:dyDescent="0.35">
      <c r="A13" s="18" t="s">
        <v>35</v>
      </c>
      <c r="B13" s="18" t="s">
        <v>156</v>
      </c>
      <c r="C13" s="18" t="s">
        <v>157</v>
      </c>
      <c r="D13" s="18" t="s">
        <v>158</v>
      </c>
      <c r="E13" s="18" t="s">
        <v>159</v>
      </c>
      <c r="F13" s="53" t="s">
        <v>160</v>
      </c>
      <c r="G13" s="53"/>
    </row>
    <row r="14" spans="1:7" ht="15.75" customHeight="1" x14ac:dyDescent="0.35">
      <c r="A14" s="13" t="s">
        <v>161</v>
      </c>
      <c r="B14" s="33">
        <f>B3</f>
        <v>85000</v>
      </c>
      <c r="C14" s="15">
        <v>0.08</v>
      </c>
      <c r="D14" s="33">
        <f>ROUND(B14/B9,0)</f>
        <v>340</v>
      </c>
      <c r="E14" s="33">
        <f>ROUND(D14*B8,0)</f>
        <v>11</v>
      </c>
      <c r="F14" s="33">
        <f>SUM(B14:B14)</f>
        <v>85000</v>
      </c>
    </row>
    <row r="15" spans="1:7" ht="15.75" customHeight="1" x14ac:dyDescent="0.35">
      <c r="A15" s="20" t="s">
        <v>162</v>
      </c>
      <c r="B15" s="33">
        <f t="shared" ref="B15:B25" si="0">B14*(1+C14)</f>
        <v>91800</v>
      </c>
      <c r="C15" s="15">
        <v>0.08</v>
      </c>
      <c r="D15" s="33">
        <f>ROUND(B15/B9,0)</f>
        <v>367</v>
      </c>
      <c r="E15" s="33">
        <f>ROUND(D15*B8,0)</f>
        <v>12</v>
      </c>
      <c r="F15" s="33">
        <f>SUM(B14:B15)</f>
        <v>176800</v>
      </c>
    </row>
    <row r="16" spans="1:7" ht="15.75" customHeight="1" x14ac:dyDescent="0.35">
      <c r="A16" s="13" t="s">
        <v>163</v>
      </c>
      <c r="B16" s="33">
        <f t="shared" si="0"/>
        <v>99144</v>
      </c>
      <c r="C16" s="15">
        <v>0.08</v>
      </c>
      <c r="D16" s="33">
        <f>ROUND(B16/B9,0)</f>
        <v>397</v>
      </c>
      <c r="E16" s="33">
        <f>ROUND(D16*B8,0)</f>
        <v>13</v>
      </c>
      <c r="F16" s="33">
        <f>SUM(B14:B16)</f>
        <v>275944</v>
      </c>
    </row>
    <row r="17" spans="1:6" ht="15.75" customHeight="1" x14ac:dyDescent="0.35">
      <c r="A17" s="20" t="s">
        <v>164</v>
      </c>
      <c r="B17" s="33">
        <f t="shared" si="0"/>
        <v>107075.52</v>
      </c>
      <c r="C17" s="15">
        <v>0.08</v>
      </c>
      <c r="D17" s="33">
        <f>ROUND(B17/B9,0)</f>
        <v>428</v>
      </c>
      <c r="E17" s="33">
        <f>ROUND(D17*B8,0)</f>
        <v>14</v>
      </c>
      <c r="F17" s="33">
        <f>SUM(B14:B17)</f>
        <v>383019.52000000002</v>
      </c>
    </row>
    <row r="18" spans="1:6" ht="15.75" customHeight="1" x14ac:dyDescent="0.35">
      <c r="A18" s="13" t="s">
        <v>165</v>
      </c>
      <c r="B18" s="33">
        <f t="shared" si="0"/>
        <v>115641.56160000002</v>
      </c>
      <c r="C18" s="15">
        <v>0.08</v>
      </c>
      <c r="D18" s="33">
        <f>ROUND(B18/B9,0)</f>
        <v>463</v>
      </c>
      <c r="E18" s="33">
        <f>ROUND(D18*B8,0)</f>
        <v>15</v>
      </c>
      <c r="F18" s="33">
        <f>SUM(B14:B18)</f>
        <v>498661.08160000003</v>
      </c>
    </row>
    <row r="19" spans="1:6" ht="15.75" customHeight="1" x14ac:dyDescent="0.35">
      <c r="A19" s="20" t="s">
        <v>166</v>
      </c>
      <c r="B19" s="33">
        <f t="shared" si="0"/>
        <v>124892.88652800003</v>
      </c>
      <c r="C19" s="15">
        <v>0.08</v>
      </c>
      <c r="D19" s="33">
        <f>ROUND(B19/B9,0)</f>
        <v>500</v>
      </c>
      <c r="E19" s="33">
        <f>ROUND(D19*B8,0)</f>
        <v>16</v>
      </c>
      <c r="F19" s="33">
        <f>SUM(B14:B19)</f>
        <v>623553.96812800004</v>
      </c>
    </row>
    <row r="20" spans="1:6" ht="15.75" customHeight="1" x14ac:dyDescent="0.35">
      <c r="A20" s="13" t="s">
        <v>167</v>
      </c>
      <c r="B20" s="33">
        <f t="shared" si="0"/>
        <v>134884.31745024005</v>
      </c>
      <c r="C20" s="15">
        <v>0.08</v>
      </c>
      <c r="D20" s="33">
        <f>ROUND(B20/B9,0)</f>
        <v>540</v>
      </c>
      <c r="E20" s="33">
        <f>ROUND(D20*B8,0)</f>
        <v>17</v>
      </c>
      <c r="F20" s="33">
        <f>SUM(B14:B20)</f>
        <v>758438.28557824006</v>
      </c>
    </row>
    <row r="21" spans="1:6" ht="15.75" customHeight="1" x14ac:dyDescent="0.35">
      <c r="A21" s="20" t="s">
        <v>168</v>
      </c>
      <c r="B21" s="33">
        <f t="shared" si="0"/>
        <v>145675.06284625927</v>
      </c>
      <c r="C21" s="15">
        <v>0.08</v>
      </c>
      <c r="D21" s="33">
        <f>ROUND(B21/B9,0)</f>
        <v>583</v>
      </c>
      <c r="E21" s="33">
        <f>ROUND(D21*B8,0)</f>
        <v>19</v>
      </c>
      <c r="F21" s="33">
        <f>SUM(B14:B21)</f>
        <v>904113.34842449939</v>
      </c>
    </row>
    <row r="22" spans="1:6" ht="15.75" customHeight="1" x14ac:dyDescent="0.35">
      <c r="A22" s="13" t="s">
        <v>169</v>
      </c>
      <c r="B22" s="33">
        <f t="shared" si="0"/>
        <v>157329.06787396001</v>
      </c>
      <c r="C22" s="15">
        <v>0.08</v>
      </c>
      <c r="D22" s="33">
        <f>ROUND(B22/B9,0)</f>
        <v>629</v>
      </c>
      <c r="E22" s="33">
        <f>ROUND(D22*B8,0)</f>
        <v>20</v>
      </c>
      <c r="F22" s="33">
        <f>SUM(B14:B22)</f>
        <v>1061442.4162984593</v>
      </c>
    </row>
    <row r="23" spans="1:6" ht="15.75" customHeight="1" x14ac:dyDescent="0.35">
      <c r="A23" s="20" t="s">
        <v>170</v>
      </c>
      <c r="B23" s="33">
        <f t="shared" si="0"/>
        <v>169915.39330387683</v>
      </c>
      <c r="C23" s="15">
        <v>0.08</v>
      </c>
      <c r="D23" s="33">
        <f>ROUND(B23/B9,0)</f>
        <v>680</v>
      </c>
      <c r="E23" s="33">
        <f>ROUND(D23*B8,0)</f>
        <v>22</v>
      </c>
      <c r="F23" s="33">
        <f>SUM(B14:B23)</f>
        <v>1231357.809602336</v>
      </c>
    </row>
    <row r="24" spans="1:6" ht="15.75" customHeight="1" x14ac:dyDescent="0.35">
      <c r="A24" s="13" t="s">
        <v>171</v>
      </c>
      <c r="B24" s="33">
        <f t="shared" si="0"/>
        <v>183508.624768187</v>
      </c>
      <c r="C24" s="15">
        <v>0.08</v>
      </c>
      <c r="D24" s="33">
        <f>ROUND(B24/B9,0)</f>
        <v>734</v>
      </c>
      <c r="E24" s="33">
        <f>ROUND(D24*B8,0)</f>
        <v>23</v>
      </c>
      <c r="F24" s="33">
        <f>SUM(B14:B24)</f>
        <v>1414866.4343705231</v>
      </c>
    </row>
    <row r="25" spans="1:6" ht="15.75" customHeight="1" x14ac:dyDescent="0.35">
      <c r="A25" s="20" t="s">
        <v>172</v>
      </c>
      <c r="B25" s="33">
        <f t="shared" si="0"/>
        <v>198189.31474964198</v>
      </c>
      <c r="C25" s="15">
        <v>0.08</v>
      </c>
      <c r="D25" s="33">
        <f>ROUND(B25/B9,0)</f>
        <v>793</v>
      </c>
      <c r="E25" s="33">
        <f>ROUND(D25*B8,0)</f>
        <v>25</v>
      </c>
      <c r="F25" s="33">
        <f>SUM(B14:B25)</f>
        <v>1613055.7491201651</v>
      </c>
    </row>
    <row r="27" spans="1:6" x14ac:dyDescent="0.35">
      <c r="A27" s="21" t="s">
        <v>52</v>
      </c>
    </row>
    <row r="28" spans="1:6" ht="12.75" customHeight="1" x14ac:dyDescent="0.35">
      <c r="A28" s="22" t="s">
        <v>53</v>
      </c>
    </row>
    <row r="29" spans="1:6" ht="12.75" customHeight="1" x14ac:dyDescent="0.35">
      <c r="A29" s="23" t="s">
        <v>54</v>
      </c>
    </row>
    <row r="30" spans="1:6" ht="12.75" customHeight="1" x14ac:dyDescent="0.35">
      <c r="A30" s="24" t="s">
        <v>55</v>
      </c>
    </row>
    <row r="31" spans="1:6" ht="12.75" customHeight="1" x14ac:dyDescent="0.35">
      <c r="A31" s="25" t="s">
        <v>56</v>
      </c>
    </row>
  </sheetData>
  <sheetProtection algorithmName="SHA-512" hashValue="lrlpZyHRwBKzGi1R/gpj1zH50u2iIql5Yx9Xa86I9esDYAyXEPFfpBvpgfWjbND1fhQWggofbQemaCph2qcoFw==" saltValue="+gEPldg7djsZrEvaOn2JGQ==" spinCount="100000" sheet="1" objects="1" scenarios="1"/>
  <mergeCells count="9">
    <mergeCell ref="F9:G9"/>
    <mergeCell ref="A10:D10"/>
    <mergeCell ref="A12:G12"/>
    <mergeCell ref="F13:G13"/>
    <mergeCell ref="A1:G1"/>
    <mergeCell ref="A5:G5"/>
    <mergeCell ref="F6:G6"/>
    <mergeCell ref="F7:G7"/>
    <mergeCell ref="F8:G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لوحة المتجر</vt:lpstr>
      <vt:lpstr>تحليل المنتجات</vt:lpstr>
      <vt:lpstr>تحليل العملاء RFM</vt:lpstr>
      <vt:lpstr>إدارة المخزون</vt:lpstr>
      <vt:lpstr>خطة النمو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2026-06-11T22:05:02Z</dcterms:created>
  <dcterms:modified xsi:type="dcterms:W3CDTF">2026-06-13T17:03:07Z</dcterms:modified>
  <dc:language>en-US</dc:language>
</cp:coreProperties>
</file>