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8_{D5D2C536-5B15-4D6A-BD49-2153DFD51E4E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جرد الديون" sheetId="2" r:id="rId2"/>
    <sheet name="استراتيجية الانهيار الجليدي" sheetId="3" r:id="rId3"/>
    <sheet name="استراتيجية كرة الثلج" sheetId="4" r:id="rId4"/>
    <sheet name="جدول السداد الشهري" sheetId="5" r:id="rId5"/>
    <sheet name="لوحة تقدم السداد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6" l="1"/>
  <c r="D23" i="6"/>
  <c r="D22" i="6"/>
  <c r="D21" i="6"/>
  <c r="D20" i="6"/>
  <c r="D19" i="6"/>
  <c r="D18" i="6"/>
  <c r="D17" i="6"/>
  <c r="D16" i="6"/>
  <c r="D15" i="6"/>
  <c r="D14" i="6"/>
  <c r="D13" i="6"/>
  <c r="B7" i="6"/>
  <c r="B6" i="6"/>
  <c r="B7" i="5"/>
  <c r="G10" i="4"/>
  <c r="F10" i="4"/>
  <c r="E10" i="4"/>
  <c r="G9" i="4"/>
  <c r="F9" i="4"/>
  <c r="E9" i="4"/>
  <c r="G8" i="4"/>
  <c r="F8" i="4"/>
  <c r="E8" i="4"/>
  <c r="G7" i="4"/>
  <c r="F7" i="4"/>
  <c r="E7" i="4"/>
  <c r="E9" i="3"/>
  <c r="G9" i="3" s="1"/>
  <c r="E8" i="3"/>
  <c r="G8" i="3" s="1"/>
  <c r="A12" i="3" s="1"/>
  <c r="G7" i="3"/>
  <c r="E7" i="3"/>
  <c r="B19" i="2"/>
  <c r="B18" i="2"/>
  <c r="B15" i="2"/>
  <c r="B14" i="2"/>
  <c r="F11" i="2"/>
  <c r="E11" i="2"/>
  <c r="C11" i="2"/>
  <c r="J10" i="2"/>
  <c r="H10" i="2"/>
  <c r="I10" i="2" s="1"/>
  <c r="J9" i="2"/>
  <c r="I9" i="2"/>
  <c r="H9" i="2"/>
  <c r="J8" i="2"/>
  <c r="H8" i="2"/>
  <c r="I8" i="2" s="1"/>
  <c r="J7" i="2"/>
  <c r="I7" i="2"/>
  <c r="H7" i="2"/>
  <c r="J6" i="2"/>
  <c r="I6" i="2"/>
  <c r="H6" i="2"/>
  <c r="J5" i="2"/>
  <c r="H5" i="2"/>
  <c r="I5" i="2" s="1"/>
  <c r="J4" i="2"/>
  <c r="H4" i="2"/>
  <c r="I4" i="2" s="1"/>
  <c r="H11" i="2" l="1"/>
  <c r="B16" i="2" s="1"/>
  <c r="C7" i="5"/>
  <c r="D7" i="5" s="1"/>
  <c r="E7" i="5" s="1"/>
  <c r="F7" i="5" s="1"/>
  <c r="G7" i="5" l="1"/>
  <c r="B8" i="5"/>
  <c r="C8" i="5" l="1"/>
  <c r="D8" i="5" s="1"/>
  <c r="E8" i="5" s="1"/>
  <c r="F8" i="5" s="1"/>
  <c r="B9" i="5" l="1"/>
  <c r="G8" i="5"/>
  <c r="C9" i="5" l="1"/>
  <c r="D9" i="5"/>
  <c r="E9" i="5" s="1"/>
  <c r="F9" i="5" s="1"/>
  <c r="B10" i="5" l="1"/>
  <c r="G9" i="5"/>
  <c r="C10" i="5" l="1"/>
  <c r="D10" i="5" s="1"/>
  <c r="E10" i="5" s="1"/>
  <c r="F10" i="5" s="1"/>
  <c r="B11" i="5" l="1"/>
  <c r="G10" i="5"/>
  <c r="C11" i="5" l="1"/>
  <c r="D11" i="5" s="1"/>
  <c r="E11" i="5" s="1"/>
  <c r="F11" i="5" s="1"/>
  <c r="G11" i="5" l="1"/>
  <c r="B12" i="5"/>
  <c r="C12" i="5" l="1"/>
  <c r="D12" i="5" s="1"/>
  <c r="E12" i="5" s="1"/>
  <c r="F12" i="5" s="1"/>
  <c r="B13" i="5" l="1"/>
  <c r="G12" i="5"/>
  <c r="C13" i="5" l="1"/>
  <c r="D13" i="5"/>
  <c r="E13" i="5" s="1"/>
  <c r="F13" i="5" s="1"/>
  <c r="B14" i="5" l="1"/>
  <c r="G13" i="5"/>
  <c r="C14" i="5" l="1"/>
  <c r="D14" i="5" s="1"/>
  <c r="E14" i="5" s="1"/>
  <c r="F14" i="5" s="1"/>
  <c r="B15" i="5" l="1"/>
  <c r="G14" i="5"/>
  <c r="C15" i="5" l="1"/>
  <c r="D15" i="5" s="1"/>
  <c r="E15" i="5" s="1"/>
  <c r="F15" i="5" s="1"/>
  <c r="G15" i="5" l="1"/>
  <c r="B16" i="5"/>
  <c r="C16" i="5" l="1"/>
  <c r="D16" i="5" s="1"/>
  <c r="E16" i="5" s="1"/>
  <c r="F16" i="5" s="1"/>
  <c r="B17" i="5" l="1"/>
  <c r="G16" i="5"/>
  <c r="C17" i="5" l="1"/>
  <c r="D17" i="5"/>
  <c r="E17" i="5" s="1"/>
  <c r="F17" i="5" s="1"/>
  <c r="B18" i="5" l="1"/>
  <c r="G17" i="5"/>
  <c r="C18" i="5" l="1"/>
  <c r="D18" i="5" s="1"/>
  <c r="E18" i="5" s="1"/>
  <c r="F18" i="5" s="1"/>
  <c r="B19" i="5" l="1"/>
  <c r="G18" i="5"/>
  <c r="C19" i="5" l="1"/>
  <c r="D19" i="5" s="1"/>
  <c r="E19" i="5" s="1"/>
  <c r="F19" i="5" s="1"/>
  <c r="G19" i="5" l="1"/>
  <c r="B20" i="5"/>
  <c r="C20" i="5" l="1"/>
  <c r="D20" i="5" s="1"/>
  <c r="E20" i="5" s="1"/>
  <c r="F20" i="5" s="1"/>
  <c r="B21" i="5" l="1"/>
  <c r="G20" i="5"/>
  <c r="C21" i="5" l="1"/>
  <c r="D21" i="5"/>
  <c r="E21" i="5" s="1"/>
  <c r="F21" i="5" s="1"/>
  <c r="B22" i="5" l="1"/>
  <c r="G21" i="5"/>
  <c r="C22" i="5" l="1"/>
  <c r="D22" i="5" s="1"/>
  <c r="E22" i="5" s="1"/>
  <c r="F22" i="5" s="1"/>
  <c r="B23" i="5" l="1"/>
  <c r="G22" i="5"/>
  <c r="C23" i="5" l="1"/>
  <c r="D23" i="5" s="1"/>
  <c r="E23" i="5" s="1"/>
  <c r="F23" i="5" s="1"/>
  <c r="G23" i="5" l="1"/>
  <c r="B24" i="5"/>
  <c r="C24" i="5" l="1"/>
  <c r="D24" i="5" s="1"/>
  <c r="E24" i="5" s="1"/>
  <c r="F24" i="5" s="1"/>
  <c r="B25" i="5" l="1"/>
  <c r="G24" i="5"/>
  <c r="C25" i="5" l="1"/>
  <c r="D25" i="5"/>
  <c r="E25" i="5" s="1"/>
  <c r="F25" i="5" s="1"/>
  <c r="B26" i="5" l="1"/>
  <c r="G25" i="5"/>
  <c r="C26" i="5" l="1"/>
  <c r="D26" i="5" s="1"/>
  <c r="E26" i="5" s="1"/>
  <c r="F26" i="5" s="1"/>
  <c r="B27" i="5" l="1"/>
  <c r="G26" i="5"/>
  <c r="C27" i="5" l="1"/>
  <c r="D27" i="5" s="1"/>
  <c r="E27" i="5" s="1"/>
  <c r="F27" i="5" s="1"/>
  <c r="G27" i="5" l="1"/>
  <c r="B28" i="5"/>
  <c r="C28" i="5" l="1"/>
  <c r="D28" i="5" s="1"/>
  <c r="E28" i="5" s="1"/>
  <c r="F28" i="5" s="1"/>
  <c r="B29" i="5" l="1"/>
  <c r="G28" i="5"/>
  <c r="C29" i="5" l="1"/>
  <c r="D29" i="5"/>
  <c r="E29" i="5" s="1"/>
  <c r="F29" i="5" s="1"/>
  <c r="B30" i="5" l="1"/>
  <c r="G29" i="5"/>
  <c r="C30" i="5" l="1"/>
  <c r="D30" i="5" s="1"/>
  <c r="E30" i="5" s="1"/>
  <c r="F30" i="5" s="1"/>
  <c r="B31" i="5" l="1"/>
  <c r="G30" i="5"/>
  <c r="C31" i="5" l="1"/>
  <c r="D31" i="5" s="1"/>
  <c r="E31" i="5" s="1"/>
  <c r="F31" i="5" s="1"/>
  <c r="G31" i="5" l="1"/>
  <c r="B32" i="5"/>
  <c r="C32" i="5" l="1"/>
  <c r="D32" i="5" s="1"/>
  <c r="E32" i="5" s="1"/>
  <c r="F32" i="5" s="1"/>
  <c r="B33" i="5" l="1"/>
  <c r="G32" i="5"/>
  <c r="C33" i="5" l="1"/>
  <c r="D33" i="5"/>
  <c r="E33" i="5" s="1"/>
  <c r="F33" i="5" s="1"/>
  <c r="B34" i="5" l="1"/>
  <c r="G33" i="5"/>
  <c r="C34" i="5" l="1"/>
  <c r="D34" i="5" s="1"/>
  <c r="E34" i="5" s="1"/>
  <c r="F34" i="5" s="1"/>
  <c r="B35" i="5" l="1"/>
  <c r="G34" i="5"/>
  <c r="C35" i="5" l="1"/>
  <c r="D35" i="5" s="1"/>
  <c r="E35" i="5" s="1"/>
  <c r="F35" i="5" s="1"/>
  <c r="G35" i="5" l="1"/>
  <c r="B36" i="5"/>
  <c r="C36" i="5" l="1"/>
  <c r="D36" i="5" s="1"/>
  <c r="E36" i="5" s="1"/>
  <c r="F36" i="5" s="1"/>
  <c r="B37" i="5" l="1"/>
  <c r="G36" i="5"/>
  <c r="C37" i="5" l="1"/>
  <c r="D37" i="5"/>
  <c r="E37" i="5" s="1"/>
  <c r="F37" i="5" s="1"/>
  <c r="B38" i="5" l="1"/>
  <c r="G37" i="5"/>
  <c r="C38" i="5" l="1"/>
  <c r="D38" i="5" s="1"/>
  <c r="E38" i="5" s="1"/>
  <c r="F38" i="5" s="1"/>
  <c r="B39" i="5" l="1"/>
  <c r="G38" i="5"/>
  <c r="C39" i="5" l="1"/>
  <c r="D39" i="5" s="1"/>
  <c r="E39" i="5" s="1"/>
  <c r="F39" i="5" s="1"/>
  <c r="G39" i="5" l="1"/>
  <c r="B40" i="5"/>
  <c r="C40" i="5" l="1"/>
  <c r="D40" i="5" s="1"/>
  <c r="E40" i="5" s="1"/>
  <c r="F40" i="5" s="1"/>
  <c r="B41" i="5" l="1"/>
  <c r="G40" i="5"/>
  <c r="C41" i="5" l="1"/>
  <c r="D41" i="5"/>
  <c r="E41" i="5" s="1"/>
  <c r="F41" i="5" s="1"/>
  <c r="B42" i="5" l="1"/>
  <c r="G41" i="5"/>
  <c r="C42" i="5" l="1"/>
  <c r="D42" i="5" s="1"/>
  <c r="E42" i="5" s="1"/>
  <c r="F42" i="5" s="1"/>
  <c r="G42" i="5" s="1"/>
</calcChain>
</file>

<file path=xl/sharedStrings.xml><?xml version="1.0" encoding="utf-8"?>
<sst xmlns="http://schemas.openxmlformats.org/spreadsheetml/2006/main" count="165" uniqueCount="130">
  <si>
    <t>مخطط الديون وخطة السداد المتسارع</t>
  </si>
  <si>
    <t>تخلص من ديونك بأسرع وقت وأقل تكلفة – استراتيجيات مجربة</t>
  </si>
  <si>
    <t>📋 جرد الديون</t>
  </si>
  <si>
    <t>❄️ كرة الثلج</t>
  </si>
  <si>
    <t>🏔️ الانهيار الجليدي</t>
  </si>
  <si>
    <t>سجّل كل ديونك في مكان واحد</t>
  </si>
  <si>
    <t>ابدأ بالأصغر – زخم نفسي</t>
  </si>
  <si>
    <t>ابدأ بالأعلى فائدة – أقل تكلفة</t>
  </si>
  <si>
    <t>📅 جدول السداد</t>
  </si>
  <si>
    <t>💰 توفير الفوائد</t>
  </si>
  <si>
    <t>📊 لوحة التقدم</t>
  </si>
  <si>
    <t>خطة شهرية تفصيلية</t>
  </si>
  <si>
    <t>كم ستوفر بالسداد المبكر؟</t>
  </si>
  <si>
    <t>تتبع حريتك المالية</t>
  </si>
  <si>
    <t>جرد ديونك الكاملة – الخطوة الأولى نحو الحرية المالية</t>
  </si>
  <si>
    <t>سجّل كل ديونك بصدق – لا يمكن حل مشكلة لا تعترف بها</t>
  </si>
  <si>
    <t>اسم الدين / الجهة</t>
  </si>
  <si>
    <t>نوع الدين</t>
  </si>
  <si>
    <t>الرصيد المتبقي (ريال)</t>
  </si>
  <si>
    <t>نسبة الفائدة/الربح السنوي %</t>
  </si>
  <si>
    <t>القسط الشهري الحالي (ريال)</t>
  </si>
  <si>
    <t>الحد الأدنى للسداد (ريال)</t>
  </si>
  <si>
    <t>تاريخ الانتهاء</t>
  </si>
  <si>
    <t>الفائدة الشهرية (ريال)</t>
  </si>
  <si>
    <t>الأشهر المتبقية</t>
  </si>
  <si>
    <t>أولوية السداد</t>
  </si>
  <si>
    <t>قرض شخصي – البنك الأهلي</t>
  </si>
  <si>
    <t>قرض شخصي</t>
  </si>
  <si>
    <t>بطاقة ائتمان – الراجحي</t>
  </si>
  <si>
    <t>بطاقة ائتمان</t>
  </si>
  <si>
    <t>تمويل سيارة – إيجار منتهي</t>
  </si>
  <si>
    <t>تمويل سيارة</t>
  </si>
  <si>
    <t>قرض عقاري</t>
  </si>
  <si>
    <t>تمويل عقاري</t>
  </si>
  <si>
    <t>الإجمالي</t>
  </si>
  <si>
    <t>ملخص وضعك مع الديون</t>
  </si>
  <si>
    <t>إجمالي الديون (ريال)</t>
  </si>
  <si>
    <t>إجمالي الأقساط الشهرية (ريال)</t>
  </si>
  <si>
    <t>إجمالي الفوائد الشهرية (ريال)</t>
  </si>
  <si>
    <t>نسبة الأقساط من الدخل (أدخل دخلك)</t>
  </si>
  <si>
    <t>نسبة عبء الديون %</t>
  </si>
  <si>
    <t>تقييم العبء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</si>
  <si>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</si>
  <si>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</si>
  <si>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</si>
  <si>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</si>
  <si>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سلبي</t>
  </si>
  <si>
    <t>الانهيار الجليدي (Avalanche) – ابدأ بأعلى فائدة</t>
  </si>
  <si>
    <t>الأذكى رياضياً – توفير أكبر في الفوائد – مناسب لمن يتحكم في مشاعره</t>
  </si>
  <si>
    <t>الدفعة الإضافية الشهرية المتاحة (ريال)</t>
  </si>
  <si>
    <t>الدين</t>
  </si>
  <si>
    <t>الرصيد (ريال)</t>
  </si>
  <si>
    <t>الفائدة %</t>
  </si>
  <si>
    <t>القسط الحالي (ريال)</t>
  </si>
  <si>
    <t>أشهر السداد (حالياً)</t>
  </si>
  <si>
    <t>أشهر السداد (بالانهيار)</t>
  </si>
  <si>
    <t>الفوائد الموفرة (ريال)</t>
  </si>
  <si>
    <t>إجمالي الفوائد الموفرة بالانهيار الجليدي</t>
  </si>
  <si>
    <t>نصائح تطبيق استراتيجية الانهيار الجليدي</t>
  </si>
  <si>
    <t>① رتّب ديونك من الأعلى فائدة إلى الأدنى</t>
  </si>
  <si>
    <t>② ادفع الحد الأدنى لجميع الديون كل شهر</t>
  </si>
  <si>
    <t>③ وجّه كل ريال إضافي نحو الدين ذي الفائدة الأعلى</t>
  </si>
  <si>
    <t>④ عند سداد دين – أضف قسطه كاملاً للدين التالي</t>
  </si>
  <si>
    <t>⑤ لا تُنشئ ديوناً جديدة خلال فترة السداد</t>
  </si>
  <si>
    <t>كرة الثلج (Snowball) – ابدأ بأصغر دين</t>
  </si>
  <si>
    <t>الأقوى نفسياً – انتصارات سريعة تُبقي حماسك مرتفعاً</t>
  </si>
  <si>
    <t>ترتيب السداد</t>
  </si>
  <si>
    <t>أشهر السداد (بدون إضافة)</t>
  </si>
  <si>
    <t>أشهر السداد (بكرة الثلج)</t>
  </si>
  <si>
    <t>الزخم المكتسب (ريال/شهر)</t>
  </si>
  <si>
    <t>💡 عند سداد أصغر دين، أضف قسطه (500 ريال) لسداد الدين التالي – وهكذا تكبر الكرة!</t>
  </si>
  <si>
    <t>انهيار جليدي مقابل كرة الثلج – أيهما لك؟</t>
  </si>
  <si>
    <t>المعيار</t>
  </si>
  <si>
    <t>الانهيار الجليدي</t>
  </si>
  <si>
    <t>كرة الثلج</t>
  </si>
  <si>
    <t>الأفضل لك إذا...</t>
  </si>
  <si>
    <t>التوفير المالي</t>
  </si>
  <si>
    <t>⭐⭐⭐⭐⭐</t>
  </si>
  <si>
    <t>⭐⭐⭐</t>
  </si>
  <si>
    <t>تريد توفير أكبر مبلغ في الفوائد</t>
  </si>
  <si>
    <t>الزخم النفسي</t>
  </si>
  <si>
    <t>⭐⭐</t>
  </si>
  <si>
    <t>تحتاج انتصارات سريعة للبقاء متحمساً</t>
  </si>
  <si>
    <t>الانضباط المطلوب</t>
  </si>
  <si>
    <t>عالٍ جداً</t>
  </si>
  <si>
    <t>متوسط</t>
  </si>
  <si>
    <t>لديك إرادة قوية وصبر</t>
  </si>
  <si>
    <t>السرعة</t>
  </si>
  <si>
    <t>أسرع مالياً</t>
  </si>
  <si>
    <t>أسرع نفسياً</t>
  </si>
  <si>
    <t>ديونك كثيرة ومتشعبة</t>
  </si>
  <si>
    <t>جدول السداد الشهري التفصيلي</t>
  </si>
  <si>
    <t>الدين المراد تتبعه</t>
  </si>
  <si>
    <t>الرصيد الافتتاحي (ريال)</t>
  </si>
  <si>
    <t>نسبة الفائدة الشهرية %</t>
  </si>
  <si>
    <t>الدفعة الشهرية (ريال)</t>
  </si>
  <si>
    <t>الشهر</t>
  </si>
  <si>
    <t>رصيد البداية (ريال)</t>
  </si>
  <si>
    <t>الفائدة (ريال)</t>
  </si>
  <si>
    <t>الدفعة (ريال)</t>
  </si>
  <si>
    <t>سداد الأصل (ريال)</t>
  </si>
  <si>
    <t>رصيد النهاية (ريال)</t>
  </si>
  <si>
    <t>نسبة السداد %</t>
  </si>
  <si>
    <t>ملاحظات</t>
  </si>
  <si>
    <t>البداية</t>
  </si>
  <si>
    <t>لوحة متابعة تقدم سداد الديون</t>
  </si>
  <si>
    <t>ملخص الوضع الحالي</t>
  </si>
  <si>
    <t>إجمالي الديون عند البداية (ريال)</t>
  </si>
  <si>
    <t>إجمالي ما تم سداده حتى الآن (ريال)</t>
  </si>
  <si>
    <t>إجمالي الديون المتبقية (ريال)</t>
  </si>
  <si>
    <t>نسبة الإنجاز %</t>
  </si>
  <si>
    <t>الفوائد الموفرة حتى الآن (ريال)</t>
  </si>
  <si>
    <t>الأشهر منذ بداية الخطة</t>
  </si>
  <si>
    <t>سجل الدفعات الشهرية</t>
  </si>
  <si>
    <t>المبلغ المدفوع (ريال)</t>
  </si>
  <si>
    <t>الديون المتبقية (ريال)</t>
  </si>
  <si>
    <t>الإنجاز %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</si>
  <si>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</si>
  <si>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</si>
  <si>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</si>
  <si>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</si>
  <si>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</si>
  <si>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</si>
  <si>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</si>
  <si>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</si>
  <si>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</si>
  <si>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</si>
  <si>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</si>
  <si>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</si>
  <si>
    <t>💪 كل ريال تسدده اليوم يحررك من قيد الدين – أنت تبني مستقبلك كل 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</si>
</sst>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3"/>
      <color rgb="FFFFFFFF"/>
      <name val="Arial"/>
      <charset val="1"/>
    </font>
    <font>
      <i/>
      <sz val="9"/>
      <color rgb="FF2E5FA3"/>
      <name val="Arial"/>
      <charset val="1"/>
    </font>
    <font>
      <b/>
      <sz val="9"/>
      <color rgb="FFFFFFFF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375623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0"/>
      <color rgb="FF7B0000"/>
      <name val="Arial"/>
      <charset val="1"/>
    </font>
    <font>
      <b/>
      <sz val="11"/>
      <color rgb="FF1E462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</fills>
  <borders count="6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49" fontId="8" fillId="5" borderId="2" xfId="0" applyNumberFormat="1" applyFont="1" applyFill="1" applyBorder="1" applyAlignment="1" applyProtection="1">
      <alignment horizontal="right" vertical="center"/>
      <protection locked="0"/>
    </xf>
    <xf numFmtId="3" fontId="8" fillId="5" borderId="2" xfId="0" applyNumberFormat="1" applyFont="1" applyFill="1" applyBorder="1" applyAlignment="1" applyProtection="1">
      <alignment horizontal="right" vertical="center"/>
      <protection locked="0"/>
    </xf>
    <xf numFmtId="10" fontId="8" fillId="5" borderId="2" xfId="0" applyNumberFormat="1" applyFont="1" applyFill="1" applyBorder="1" applyAlignment="1" applyProtection="1">
      <alignment horizontal="right" vertical="center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11" fillId="2" borderId="2" xfId="0" applyFont="1" applyFill="1" applyBorder="1" applyAlignment="1" applyProtection="1">
      <alignment horizontal="center" vertical="center" wrapText="1"/>
      <protection locked="0"/>
    </xf>
    <xf numFmtId="0" fontId="12" fillId="5" borderId="2" xfId="0" applyFont="1" applyFill="1" applyBorder="1" applyAlignment="1" applyProtection="1">
      <alignment horizontal="left" vertical="center" wrapText="1"/>
      <protection locked="0"/>
    </xf>
    <xf numFmtId="0" fontId="14" fillId="0" borderId="0" xfId="0" applyFont="1" applyProtection="1">
      <protection locked="0"/>
    </xf>
    <xf numFmtId="0" fontId="15" fillId="5" borderId="2" xfId="0" applyFont="1" applyFill="1" applyBorder="1" applyProtection="1">
      <protection locked="0"/>
    </xf>
    <xf numFmtId="0" fontId="16" fillId="6" borderId="2" xfId="0" applyFont="1" applyFill="1" applyBorder="1" applyProtection="1">
      <protection locked="0"/>
    </xf>
    <xf numFmtId="0" fontId="17" fillId="7" borderId="2" xfId="0" applyFont="1" applyFill="1" applyBorder="1" applyProtection="1">
      <protection locked="0"/>
    </xf>
    <xf numFmtId="0" fontId="18" fillId="8" borderId="2" xfId="0" applyFont="1" applyFill="1" applyBorder="1" applyProtection="1">
      <protection locked="0"/>
    </xf>
    <xf numFmtId="4" fontId="9" fillId="6" borderId="2" xfId="0" applyNumberFormat="1" applyFont="1" applyFill="1" applyBorder="1" applyAlignment="1" applyProtection="1">
      <alignment horizontal="right" vertical="center"/>
      <protection locked="0" hidden="1"/>
    </xf>
    <xf numFmtId="164" fontId="9" fillId="6" borderId="2" xfId="0" applyNumberFormat="1" applyFont="1" applyFill="1" applyBorder="1" applyAlignment="1" applyProtection="1">
      <alignment horizontal="right" vertical="center"/>
      <protection locked="0" hidden="1"/>
    </xf>
    <xf numFmtId="1" fontId="9" fillId="6" borderId="2" xfId="0" applyNumberFormat="1" applyFont="1" applyFill="1" applyBorder="1" applyAlignment="1" applyProtection="1">
      <alignment horizontal="right" vertical="center"/>
      <protection locked="0" hidden="1"/>
    </xf>
    <xf numFmtId="4" fontId="10" fillId="7" borderId="3" xfId="0" applyNumberFormat="1" applyFont="1" applyFill="1" applyBorder="1" applyAlignment="1" applyProtection="1">
      <alignment horizontal="right" vertical="center"/>
      <protection locked="0" hidden="1"/>
    </xf>
    <xf numFmtId="3" fontId="10" fillId="7" borderId="3" xfId="0" applyNumberFormat="1" applyFont="1" applyFill="1" applyBorder="1" applyAlignment="1" applyProtection="1">
      <alignment horizontal="right" vertical="center"/>
      <protection locked="0" hidden="1"/>
    </xf>
    <xf numFmtId="0" fontId="13" fillId="7" borderId="4" xfId="0" applyFont="1" applyFill="1" applyBorder="1" applyAlignment="1" applyProtection="1">
      <alignment horizontal="left" vertical="center" wrapText="1"/>
      <protection locked="0" hidden="1"/>
    </xf>
    <xf numFmtId="0" fontId="9" fillId="9" borderId="2" xfId="0" applyFont="1" applyFill="1" applyBorder="1" applyAlignment="1" applyProtection="1">
      <alignment horizontal="left" vertical="center" wrapText="1"/>
      <protection locked="0"/>
    </xf>
    <xf numFmtId="0" fontId="11" fillId="2" borderId="1" xfId="0" applyFont="1" applyFill="1" applyBorder="1" applyAlignment="1" applyProtection="1">
      <alignment horizontal="center" vertical="center" wrapText="1"/>
      <protection locked="0"/>
    </xf>
    <xf numFmtId="0" fontId="11" fillId="4" borderId="2" xfId="0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left" vertical="center" wrapText="1"/>
      <protection locked="0"/>
    </xf>
    <xf numFmtId="0" fontId="9" fillId="9" borderId="1" xfId="0" applyFont="1" applyFill="1" applyBorder="1" applyAlignment="1" applyProtection="1">
      <alignment horizontal="left" vertical="center" wrapText="1"/>
      <protection locked="0"/>
    </xf>
    <xf numFmtId="3" fontId="9" fillId="6" borderId="2" xfId="0" applyNumberFormat="1" applyFont="1" applyFill="1" applyBorder="1" applyAlignment="1" applyProtection="1">
      <alignment horizontal="right" vertical="center"/>
      <protection locked="0" hidden="1"/>
    </xf>
    <xf numFmtId="3" fontId="10" fillId="7" borderId="3" xfId="0" applyNumberFormat="1" applyFont="1" applyFill="1" applyBorder="1" applyAlignment="1" applyProtection="1">
      <alignment horizontal="right" vertical="center"/>
      <protection locked="0" hidden="1"/>
    </xf>
    <xf numFmtId="1" fontId="8" fillId="5" borderId="2" xfId="0" applyNumberFormat="1" applyFont="1" applyFill="1" applyBorder="1" applyAlignment="1" applyProtection="1">
      <alignment horizontal="right" vertical="center"/>
      <protection locked="0"/>
    </xf>
    <xf numFmtId="0" fontId="12" fillId="5" borderId="4" xfId="0" applyFont="1" applyFill="1" applyBorder="1" applyAlignment="1" applyProtection="1">
      <alignment horizontal="left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9" fillId="7" borderId="2" xfId="0" applyFont="1" applyFill="1" applyBorder="1" applyAlignment="1" applyProtection="1">
      <alignment horizontal="left" vertical="center" wrapText="1"/>
      <protection locked="0"/>
    </xf>
    <xf numFmtId="0" fontId="9" fillId="5" borderId="2" xfId="0" applyFont="1" applyFill="1" applyBorder="1" applyAlignment="1" applyProtection="1">
      <alignment horizontal="left" vertical="center" wrapText="1"/>
      <protection locked="0"/>
    </xf>
    <xf numFmtId="0" fontId="9" fillId="6" borderId="1" xfId="0" applyFont="1" applyFill="1" applyBorder="1" applyAlignment="1" applyProtection="1">
      <alignment horizontal="left" vertical="center" wrapText="1"/>
      <protection locked="0"/>
    </xf>
    <xf numFmtId="0" fontId="14" fillId="9" borderId="2" xfId="0" applyFont="1" applyFill="1" applyBorder="1" applyAlignment="1" applyProtection="1">
      <alignment horizontal="center" vertical="center" wrapText="1"/>
      <protection locked="0"/>
    </xf>
    <xf numFmtId="0" fontId="14" fillId="5" borderId="2" xfId="0" applyFont="1" applyFill="1" applyBorder="1" applyAlignment="1" applyProtection="1">
      <alignment horizontal="center" vertical="center" wrapText="1"/>
      <protection locked="0"/>
    </xf>
    <xf numFmtId="4" fontId="9" fillId="9" borderId="2" xfId="0" applyNumberFormat="1" applyFont="1" applyFill="1" applyBorder="1" applyAlignment="1" applyProtection="1">
      <alignment horizontal="right" vertical="center"/>
      <protection locked="0" hidden="1"/>
    </xf>
    <xf numFmtId="165" fontId="9" fillId="9" borderId="2" xfId="0" applyNumberFormat="1" applyFont="1" applyFill="1" applyBorder="1" applyAlignment="1" applyProtection="1">
      <alignment horizontal="right" vertical="center"/>
      <protection locked="0" hidden="1"/>
    </xf>
    <xf numFmtId="4" fontId="9" fillId="5" borderId="2" xfId="0" applyNumberFormat="1" applyFont="1" applyFill="1" applyBorder="1" applyAlignment="1" applyProtection="1">
      <alignment horizontal="right" vertical="center"/>
      <protection locked="0" hidden="1"/>
    </xf>
    <xf numFmtId="165" fontId="9" fillId="5" borderId="2" xfId="0" applyNumberFormat="1" applyFont="1" applyFill="1" applyBorder="1" applyAlignment="1" applyProtection="1">
      <alignment horizontal="right" vertical="center"/>
      <protection locked="0" hidden="1"/>
    </xf>
    <xf numFmtId="4" fontId="9" fillId="7" borderId="2" xfId="0" applyNumberFormat="1" applyFont="1" applyFill="1" applyBorder="1" applyAlignment="1" applyProtection="1">
      <alignment horizontal="right" vertical="center"/>
      <protection locked="0" hidden="1"/>
    </xf>
    <xf numFmtId="165" fontId="9" fillId="7" borderId="2" xfId="0" applyNumberFormat="1" applyFont="1" applyFill="1" applyBorder="1" applyAlignment="1" applyProtection="1">
      <alignment horizontal="right" vertical="center"/>
      <protection locked="0" hidden="1"/>
    </xf>
    <xf numFmtId="0" fontId="20" fillId="7" borderId="5" xfId="0" applyFont="1" applyFill="1" applyBorder="1" applyAlignment="1" applyProtection="1">
      <alignment horizontal="center" vertical="center" wrapText="1"/>
      <protection locked="0"/>
    </xf>
    <xf numFmtId="3" fontId="19" fillId="8" borderId="3" xfId="0" applyNumberFormat="1" applyFont="1" applyFill="1" applyBorder="1" applyAlignment="1" applyProtection="1">
      <alignment horizontal="right" vertical="center"/>
      <protection locked="0" hidden="1"/>
    </xf>
    <xf numFmtId="165" fontId="10" fillId="7" borderId="3" xfId="0" applyNumberFormat="1" applyFont="1" applyFill="1" applyBorder="1" applyAlignment="1" applyProtection="1">
      <alignment horizontal="right" vertical="center"/>
      <protection locked="0" hidden="1"/>
    </xf>
    <xf numFmtId="165" fontId="9" fillId="6" borderId="2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75623"/>
      <rgbColor rgb="FF993300"/>
      <rgbColor rgb="FF993366"/>
      <rgbColor rgb="FF333399"/>
      <rgbColor rgb="FF1E46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5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6.5" customHeight="1" x14ac:dyDescent="0.35">
      <c r="A2" s="4"/>
      <c r="B2" s="4"/>
      <c r="C2" s="4"/>
      <c r="D2" s="4"/>
      <c r="E2" s="4"/>
      <c r="F2" s="4"/>
      <c r="G2" s="4"/>
      <c r="H2" s="4"/>
      <c r="I2" s="4"/>
      <c r="J2" s="4"/>
    </row>
    <row r="3" spans="1:10" ht="16.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ht="16.5" customHeight="1" x14ac:dyDescent="0.3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ht="16.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ht="16.5" customHeight="1" x14ac:dyDescent="0.3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</row>
    <row r="7" spans="1:10" ht="16.5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3" customHeight="1" x14ac:dyDescent="0.3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ht="18.75" customHeight="1" x14ac:dyDescent="0.35">
      <c r="B9" s="2" t="s">
        <v>2</v>
      </c>
      <c r="C9" s="2"/>
      <c r="D9" s="2"/>
      <c r="E9" s="2" t="s">
        <v>3</v>
      </c>
      <c r="F9" s="2"/>
      <c r="G9" s="2"/>
      <c r="H9" s="2" t="s">
        <v>4</v>
      </c>
      <c r="I9" s="2"/>
      <c r="J9" s="2"/>
    </row>
    <row r="10" spans="1:10" ht="15" customHeight="1" x14ac:dyDescent="0.35">
      <c r="B10" s="1" t="s">
        <v>5</v>
      </c>
      <c r="C10" s="1"/>
      <c r="D10" s="1"/>
      <c r="E10" s="1" t="s">
        <v>6</v>
      </c>
      <c r="F10" s="1"/>
      <c r="G10" s="1"/>
      <c r="H10" s="1" t="s">
        <v>7</v>
      </c>
      <c r="I10" s="1"/>
      <c r="J10" s="1"/>
    </row>
    <row r="11" spans="1:10" ht="16.5" customHeight="1" x14ac:dyDescent="0.35"/>
    <row r="12" spans="1:10" ht="16.5" customHeight="1" x14ac:dyDescent="0.35"/>
    <row r="13" spans="1:10" ht="18.75" customHeight="1" x14ac:dyDescent="0.35">
      <c r="B13" s="2" t="s">
        <v>8</v>
      </c>
      <c r="C13" s="2"/>
      <c r="D13" s="2"/>
      <c r="E13" s="2" t="s">
        <v>9</v>
      </c>
      <c r="F13" s="2"/>
      <c r="G13" s="2"/>
      <c r="H13" s="2" t="s">
        <v>10</v>
      </c>
      <c r="I13" s="2"/>
      <c r="J13" s="2"/>
    </row>
    <row r="14" spans="1:10" ht="15" customHeight="1" x14ac:dyDescent="0.35">
      <c r="B14" s="1" t="s">
        <v>11</v>
      </c>
      <c r="C14" s="1"/>
      <c r="D14" s="1"/>
      <c r="E14" s="1" t="s">
        <v>12</v>
      </c>
      <c r="F14" s="1"/>
      <c r="G14" s="1"/>
      <c r="H14" s="1" t="s">
        <v>13</v>
      </c>
      <c r="I14" s="1"/>
      <c r="J14" s="1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5"/>
    <mergeCell ref="A6:J7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rightToLeft="1" topLeftCell="A6" zoomScaleNormal="100" workbookViewId="0">
      <selection activeCell="B19" sqref="B18:J19"/>
    </sheetView>
  </sheetViews>
  <sheetFormatPr defaultColWidth="8.6328125" defaultRowHeight="14.5" x14ac:dyDescent="0.35"/>
  <cols>
    <col min="1" max="1" width="24" style="7" customWidth="1"/>
    <col min="2" max="2" width="14" style="7" customWidth="1"/>
    <col min="3" max="3" width="16" style="7" customWidth="1"/>
    <col min="4" max="6" width="14" style="7" customWidth="1"/>
    <col min="7" max="7" width="12" style="7" customWidth="1"/>
    <col min="8" max="8" width="14" style="7" customWidth="1"/>
    <col min="9" max="10" width="12" style="7" customWidth="1"/>
    <col min="11" max="16384" width="8.6328125" style="7"/>
  </cols>
  <sheetData>
    <row r="1" spans="1:10" ht="27.75" customHeight="1" x14ac:dyDescent="0.35">
      <c r="A1" s="6" t="s">
        <v>14</v>
      </c>
      <c r="B1" s="6"/>
      <c r="C1" s="6"/>
      <c r="D1" s="6"/>
      <c r="E1" s="6"/>
      <c r="F1" s="6"/>
      <c r="G1" s="6"/>
      <c r="H1" s="6"/>
      <c r="I1" s="6"/>
      <c r="J1" s="6"/>
    </row>
    <row r="2" spans="1:10" ht="15" customHeight="1" x14ac:dyDescent="0.35">
      <c r="A2" s="8" t="s">
        <v>15</v>
      </c>
      <c r="B2" s="8"/>
      <c r="C2" s="8"/>
      <c r="D2" s="8"/>
      <c r="E2" s="8"/>
      <c r="F2" s="8"/>
      <c r="G2" s="8"/>
      <c r="H2" s="8"/>
      <c r="I2" s="8"/>
      <c r="J2" s="8"/>
    </row>
    <row r="3" spans="1:10" ht="21.75" customHeight="1" x14ac:dyDescent="0.35">
      <c r="A3" s="9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</row>
    <row r="4" spans="1:10" ht="16.5" customHeight="1" x14ac:dyDescent="0.35">
      <c r="A4" s="10" t="s">
        <v>26</v>
      </c>
      <c r="B4" s="10" t="s">
        <v>27</v>
      </c>
      <c r="C4" s="11">
        <v>45000</v>
      </c>
      <c r="D4" s="12">
        <v>0.08</v>
      </c>
      <c r="E4" s="11">
        <v>1200</v>
      </c>
      <c r="F4" s="11">
        <v>1200</v>
      </c>
      <c r="G4" s="10"/>
      <c r="H4" s="21">
        <f t="shared" ref="H4:H10" si="0">IF(C4=0,0,C4*D4/12)</f>
        <v>300</v>
      </c>
      <c r="I4" s="22">
        <f t="shared" ref="I4:I10" si="1">IF(OR(C4=0,E4&lt;=H4),0,IFERROR(NPER(D4/12,-E4,C4),0))</f>
        <v>43.295992611125691</v>
      </c>
      <c r="J4" s="23">
        <f t="shared" ref="J4:J10" si="2">IF(C4=0,"",RANK(D4,D$4:D$10,0))</f>
        <v>2</v>
      </c>
    </row>
    <row r="5" spans="1:10" ht="16.5" customHeight="1" x14ac:dyDescent="0.35">
      <c r="A5" s="10" t="s">
        <v>28</v>
      </c>
      <c r="B5" s="10" t="s">
        <v>29</v>
      </c>
      <c r="C5" s="11">
        <v>12000</v>
      </c>
      <c r="D5" s="12">
        <v>0.24</v>
      </c>
      <c r="E5" s="11">
        <v>500</v>
      </c>
      <c r="F5" s="11">
        <v>360</v>
      </c>
      <c r="G5" s="10"/>
      <c r="H5" s="21">
        <f t="shared" si="0"/>
        <v>240</v>
      </c>
      <c r="I5" s="22">
        <f t="shared" si="1"/>
        <v>33.022207489246533</v>
      </c>
      <c r="J5" s="23">
        <f t="shared" si="2"/>
        <v>1</v>
      </c>
    </row>
    <row r="6" spans="1:10" ht="16.5" customHeight="1" x14ac:dyDescent="0.35">
      <c r="A6" s="10" t="s">
        <v>30</v>
      </c>
      <c r="B6" s="10" t="s">
        <v>31</v>
      </c>
      <c r="C6" s="11">
        <v>85000</v>
      </c>
      <c r="D6" s="12">
        <v>0.04</v>
      </c>
      <c r="E6" s="11">
        <v>1800</v>
      </c>
      <c r="F6" s="11">
        <v>1800</v>
      </c>
      <c r="G6" s="10"/>
      <c r="H6" s="21">
        <f t="shared" si="0"/>
        <v>283.33333333333331</v>
      </c>
      <c r="I6" s="22">
        <f t="shared" si="1"/>
        <v>51.467104546160968</v>
      </c>
      <c r="J6" s="23">
        <f t="shared" si="2"/>
        <v>4</v>
      </c>
    </row>
    <row r="7" spans="1:10" ht="16.5" customHeight="1" x14ac:dyDescent="0.35">
      <c r="A7" s="10" t="s">
        <v>32</v>
      </c>
      <c r="B7" s="10" t="s">
        <v>33</v>
      </c>
      <c r="C7" s="11">
        <v>350000</v>
      </c>
      <c r="D7" s="12">
        <v>4.4999999999999998E-2</v>
      </c>
      <c r="E7" s="11">
        <v>2200</v>
      </c>
      <c r="F7" s="11">
        <v>2200</v>
      </c>
      <c r="G7" s="10"/>
      <c r="H7" s="21">
        <f t="shared" si="0"/>
        <v>1312.5</v>
      </c>
      <c r="I7" s="22">
        <f t="shared" si="1"/>
        <v>242.53471703336291</v>
      </c>
      <c r="J7" s="23">
        <f t="shared" si="2"/>
        <v>3</v>
      </c>
    </row>
    <row r="8" spans="1:10" ht="16.5" customHeight="1" x14ac:dyDescent="0.35">
      <c r="A8" s="10"/>
      <c r="B8" s="10"/>
      <c r="C8" s="11">
        <v>0</v>
      </c>
      <c r="D8" s="12">
        <v>0</v>
      </c>
      <c r="E8" s="11">
        <v>0</v>
      </c>
      <c r="F8" s="11">
        <v>0</v>
      </c>
      <c r="G8" s="10"/>
      <c r="H8" s="21">
        <f t="shared" si="0"/>
        <v>0</v>
      </c>
      <c r="I8" s="22">
        <f t="shared" si="1"/>
        <v>0</v>
      </c>
      <c r="J8" s="23" t="str">
        <f t="shared" si="2"/>
        <v/>
      </c>
    </row>
    <row r="9" spans="1:10" ht="16.5" customHeight="1" x14ac:dyDescent="0.35">
      <c r="A9" s="10"/>
      <c r="B9" s="10"/>
      <c r="C9" s="11">
        <v>0</v>
      </c>
      <c r="D9" s="12">
        <v>0</v>
      </c>
      <c r="E9" s="11">
        <v>0</v>
      </c>
      <c r="F9" s="11">
        <v>0</v>
      </c>
      <c r="G9" s="10"/>
      <c r="H9" s="21">
        <f t="shared" si="0"/>
        <v>0</v>
      </c>
      <c r="I9" s="22">
        <f t="shared" si="1"/>
        <v>0</v>
      </c>
      <c r="J9" s="23" t="str">
        <f t="shared" si="2"/>
        <v/>
      </c>
    </row>
    <row r="10" spans="1:10" ht="16.5" customHeight="1" x14ac:dyDescent="0.35">
      <c r="A10" s="10"/>
      <c r="B10" s="10"/>
      <c r="C10" s="11">
        <v>0</v>
      </c>
      <c r="D10" s="12">
        <v>0</v>
      </c>
      <c r="E10" s="11">
        <v>0</v>
      </c>
      <c r="F10" s="11">
        <v>0</v>
      </c>
      <c r="G10" s="10"/>
      <c r="H10" s="21">
        <f t="shared" si="0"/>
        <v>0</v>
      </c>
      <c r="I10" s="22">
        <f t="shared" si="1"/>
        <v>0</v>
      </c>
      <c r="J10" s="23" t="str">
        <f t="shared" si="2"/>
        <v/>
      </c>
    </row>
    <row r="11" spans="1:10" ht="19.5" customHeight="1" x14ac:dyDescent="0.35">
      <c r="A11" s="13" t="s">
        <v>34</v>
      </c>
      <c r="B11" s="13"/>
      <c r="C11" s="24">
        <f>SUM(C4:C10)</f>
        <v>492000</v>
      </c>
      <c r="E11" s="24">
        <f>SUM(E4:E10)</f>
        <v>5700</v>
      </c>
      <c r="F11" s="24">
        <f>SUM(F4:F10)</f>
        <v>5560</v>
      </c>
      <c r="H11" s="24">
        <f>SUM(H4:H10)</f>
        <v>2135.833333333333</v>
      </c>
    </row>
    <row r="13" spans="1:10" ht="21.75" customHeight="1" x14ac:dyDescent="0.35">
      <c r="A13" s="14" t="s">
        <v>35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 ht="18" customHeight="1" x14ac:dyDescent="0.35">
      <c r="A14" s="15" t="s">
        <v>36</v>
      </c>
      <c r="B14" s="25">
        <f>C11</f>
        <v>492000</v>
      </c>
    </row>
    <row r="15" spans="1:10" ht="18" customHeight="1" x14ac:dyDescent="0.35">
      <c r="A15" s="15" t="s">
        <v>37</v>
      </c>
      <c r="B15" s="25">
        <f>E11</f>
        <v>5700</v>
      </c>
    </row>
    <row r="16" spans="1:10" ht="18" customHeight="1" x14ac:dyDescent="0.35">
      <c r="A16" s="15" t="s">
        <v>38</v>
      </c>
      <c r="B16" s="25">
        <f>H11</f>
        <v>2135.833333333333</v>
      </c>
    </row>
    <row r="17" spans="1:10" ht="18" customHeight="1" x14ac:dyDescent="0.35">
      <c r="A17" s="15" t="s">
        <v>39</v>
      </c>
      <c r="B17" s="11">
        <v>0</v>
      </c>
    </row>
    <row r="18" spans="1:10" ht="18" customHeight="1" x14ac:dyDescent="0.35">
      <c r="A18" s="15" t="s">
        <v>40</v>
      </c>
      <c r="B18" s="26">
        <f>IF(B17=0,0,E11/B17)</f>
        <v>0</v>
      </c>
      <c r="C18" s="26"/>
      <c r="D18" s="26"/>
      <c r="E18" s="26"/>
      <c r="F18" s="26"/>
      <c r="G18" s="26"/>
      <c r="H18" s="26"/>
      <c r="I18" s="26"/>
      <c r="J18" s="26"/>
    </row>
    <row r="19" spans="1:10" ht="18" customHeight="1" x14ac:dyDescent="0.35">
      <c r="A19" s="15" t="s">
        <v>41</v>
      </c>
      <c r="B19" s="26" t="str">
        <f>IF(B17=0,"أدخل دخلك الشهري",IF(B18&lt;0.2,"✅ مريح – أقل من 20%",IF(B18&lt;0.36,"⚠️ مقبول – 20-36%",IF(B18&lt;0.5,"🔴 مرتفع – 36-50%","⛔ خطر – أكثر من 50%"))))</f>
        <v>أدخل دخلك الشهري</v>
      </c>
      <c r="C19" s="26"/>
      <c r="D19" s="26"/>
      <c r="E19" s="26"/>
      <c r="F19" s="26"/>
      <c r="G19" s="26"/>
      <c r="H19" s="26"/>
      <c r="I19" s="26"/>
      <c r="J19" s="26"/>
    </row>
    <row r="21" spans="1:10" x14ac:dyDescent="0.35">
      <c r="A21" s="16" t="s">
        <v>42</v>
      </c>
    </row>
    <row r="22" spans="1:10" ht="12.75" customHeight="1" x14ac:dyDescent="0.35">
      <c r="A22" s="17" t="s">
        <v>43</v>
      </c>
    </row>
    <row r="23" spans="1:10" ht="12.75" customHeight="1" x14ac:dyDescent="0.35">
      <c r="A23" s="18" t="s">
        <v>44</v>
      </c>
    </row>
    <row r="24" spans="1:10" ht="12.75" customHeight="1" x14ac:dyDescent="0.35">
      <c r="A24" s="19" t="s">
        <v>45</v>
      </c>
    </row>
    <row r="25" spans="1:10" ht="12.75" customHeight="1" x14ac:dyDescent="0.35">
      <c r="A25" s="20" t="s">
        <v>46</v>
      </c>
    </row>
  </sheetData>
  <sheetProtection algorithmName="SHA-512" hashValue="o+lITtGQQOThS5R2bDuw9Cv6am/Gr9DPMGzt+TUYr7HHVFap/k+Z0sd2uMuYcLyUphQBKJhYV4+MfS1+GxPlOw==" saltValue="36/bpKwFYBOmRYAjTUN/cQ==" spinCount="100000" sheet="1" objects="1" scenarios="1"/>
  <mergeCells count="6">
    <mergeCell ref="B19:J19"/>
    <mergeCell ref="A1:J1"/>
    <mergeCell ref="A2:J2"/>
    <mergeCell ref="A11:B11"/>
    <mergeCell ref="A13:J13"/>
    <mergeCell ref="B18:J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rightToLeft="1" zoomScaleNormal="100" workbookViewId="0">
      <selection activeCell="A12" sqref="A12:G12"/>
    </sheetView>
  </sheetViews>
  <sheetFormatPr defaultColWidth="8.6328125" defaultRowHeight="14.5" x14ac:dyDescent="0.35"/>
  <cols>
    <col min="1" max="1" width="22" style="7" customWidth="1"/>
    <col min="2" max="2" width="16" style="7" customWidth="1"/>
    <col min="3" max="3" width="12" style="7" customWidth="1"/>
    <col min="4" max="4" width="16" style="7" customWidth="1"/>
    <col min="5" max="7" width="18" style="7" customWidth="1"/>
    <col min="8" max="16384" width="8.6328125" style="7"/>
  </cols>
  <sheetData>
    <row r="1" spans="1:7" ht="27.75" customHeight="1" x14ac:dyDescent="0.35">
      <c r="A1" s="6" t="s">
        <v>47</v>
      </c>
      <c r="B1" s="6"/>
      <c r="C1" s="6"/>
      <c r="D1" s="6"/>
      <c r="E1" s="6"/>
      <c r="F1" s="6"/>
      <c r="G1" s="6"/>
    </row>
    <row r="2" spans="1:7" ht="15" customHeight="1" x14ac:dyDescent="0.35">
      <c r="A2" s="8" t="s">
        <v>48</v>
      </c>
      <c r="B2" s="8"/>
      <c r="C2" s="8"/>
      <c r="D2" s="8"/>
      <c r="E2" s="8"/>
      <c r="F2" s="8"/>
      <c r="G2" s="8"/>
    </row>
    <row r="4" spans="1:7" ht="16.5" customHeight="1" x14ac:dyDescent="0.35">
      <c r="A4" s="27" t="s">
        <v>49</v>
      </c>
      <c r="B4" s="11">
        <v>500</v>
      </c>
    </row>
    <row r="6" spans="1:7" ht="21.75" customHeight="1" x14ac:dyDescent="0.35">
      <c r="A6" s="9" t="s">
        <v>50</v>
      </c>
      <c r="B6" s="9" t="s">
        <v>51</v>
      </c>
      <c r="C6" s="9" t="s">
        <v>52</v>
      </c>
      <c r="D6" s="9" t="s">
        <v>53</v>
      </c>
      <c r="E6" s="9" t="s">
        <v>54</v>
      </c>
      <c r="F6" s="9" t="s">
        <v>55</v>
      </c>
      <c r="G6" s="9" t="s">
        <v>56</v>
      </c>
    </row>
    <row r="7" spans="1:7" ht="16.5" customHeight="1" x14ac:dyDescent="0.35">
      <c r="A7" s="10" t="s">
        <v>29</v>
      </c>
      <c r="B7" s="11">
        <v>12000</v>
      </c>
      <c r="C7" s="12">
        <v>0.24</v>
      </c>
      <c r="D7" s="11">
        <v>500</v>
      </c>
      <c r="E7" s="22">
        <f>IFERROR(NPER(C7/12,-D7,B7),0)</f>
        <v>33.022207489246533</v>
      </c>
      <c r="F7" s="22">
        <v>0</v>
      </c>
      <c r="G7" s="32">
        <f>IF(E7=0,0,(E7-F7)*D7/E7*C7/12*E7)</f>
        <v>330.22207489246534</v>
      </c>
    </row>
    <row r="8" spans="1:7" ht="16.5" customHeight="1" x14ac:dyDescent="0.35">
      <c r="A8" s="10" t="s">
        <v>27</v>
      </c>
      <c r="B8" s="11">
        <v>45000</v>
      </c>
      <c r="C8" s="12">
        <v>0.08</v>
      </c>
      <c r="D8" s="11">
        <v>1200</v>
      </c>
      <c r="E8" s="22">
        <f>IFERROR(NPER(C8/12,-D8,B8),0)</f>
        <v>43.295992611125691</v>
      </c>
      <c r="F8" s="22">
        <v>0</v>
      </c>
      <c r="G8" s="32">
        <f>IF(E8=0,0,(E8-F8)*D8/E8*C8/12*E8)</f>
        <v>346.36794088900552</v>
      </c>
    </row>
    <row r="9" spans="1:7" ht="16.5" customHeight="1" x14ac:dyDescent="0.35">
      <c r="A9" s="10" t="s">
        <v>31</v>
      </c>
      <c r="B9" s="11">
        <v>85000</v>
      </c>
      <c r="C9" s="12">
        <v>0.04</v>
      </c>
      <c r="D9" s="11">
        <v>1800</v>
      </c>
      <c r="E9" s="22">
        <f>IFERROR(NPER(C9/12,-D9,B9),0)</f>
        <v>51.467104546160968</v>
      </c>
      <c r="F9" s="22">
        <v>0</v>
      </c>
      <c r="G9" s="32">
        <f>IF(E9=0,0,(E9-F9)*D9/E9*C9/12*E9)</f>
        <v>308.80262727696584</v>
      </c>
    </row>
    <row r="11" spans="1:7" ht="15" customHeight="1" x14ac:dyDescent="0.35">
      <c r="A11" s="28" t="s">
        <v>57</v>
      </c>
      <c r="B11" s="28"/>
      <c r="C11" s="28"/>
      <c r="D11" s="28"/>
      <c r="E11" s="28"/>
      <c r="F11" s="28"/>
      <c r="G11" s="28"/>
    </row>
    <row r="12" spans="1:7" ht="24" customHeight="1" x14ac:dyDescent="0.35">
      <c r="A12" s="33">
        <f>SUM(G7:G9)</f>
        <v>985.39264305843665</v>
      </c>
      <c r="B12" s="33"/>
      <c r="C12" s="33"/>
      <c r="D12" s="33"/>
      <c r="E12" s="33"/>
      <c r="F12" s="33"/>
      <c r="G12" s="33"/>
    </row>
    <row r="14" spans="1:7" ht="21.75" customHeight="1" x14ac:dyDescent="0.35">
      <c r="A14" s="29" t="s">
        <v>58</v>
      </c>
      <c r="B14" s="29"/>
      <c r="C14" s="29"/>
      <c r="D14" s="29"/>
      <c r="E14" s="29"/>
      <c r="F14" s="29"/>
      <c r="G14" s="29"/>
    </row>
    <row r="15" spans="1:7" ht="16.5" customHeight="1" x14ac:dyDescent="0.35">
      <c r="A15" s="30" t="s">
        <v>59</v>
      </c>
      <c r="B15" s="30"/>
      <c r="C15" s="30"/>
      <c r="D15" s="30"/>
      <c r="E15" s="30"/>
      <c r="F15" s="30"/>
      <c r="G15" s="30"/>
    </row>
    <row r="16" spans="1:7" ht="16.5" customHeight="1" x14ac:dyDescent="0.35">
      <c r="A16" s="31" t="s">
        <v>60</v>
      </c>
      <c r="B16" s="31"/>
      <c r="C16" s="31"/>
      <c r="D16" s="31"/>
      <c r="E16" s="31"/>
      <c r="F16" s="31"/>
      <c r="G16" s="31"/>
    </row>
    <row r="17" spans="1:7" ht="16.5" customHeight="1" x14ac:dyDescent="0.35">
      <c r="A17" s="30" t="s">
        <v>61</v>
      </c>
      <c r="B17" s="30"/>
      <c r="C17" s="30"/>
      <c r="D17" s="30"/>
      <c r="E17" s="30"/>
      <c r="F17" s="30"/>
      <c r="G17" s="30"/>
    </row>
    <row r="18" spans="1:7" ht="16.5" customHeight="1" x14ac:dyDescent="0.35">
      <c r="A18" s="31" t="s">
        <v>62</v>
      </c>
      <c r="B18" s="31"/>
      <c r="C18" s="31"/>
      <c r="D18" s="31"/>
      <c r="E18" s="31"/>
      <c r="F18" s="31"/>
      <c r="G18" s="31"/>
    </row>
    <row r="19" spans="1:7" ht="16.5" customHeight="1" x14ac:dyDescent="0.35">
      <c r="A19" s="30" t="s">
        <v>63</v>
      </c>
      <c r="B19" s="30"/>
      <c r="C19" s="30"/>
      <c r="D19" s="30"/>
      <c r="E19" s="30"/>
      <c r="F19" s="30"/>
      <c r="G19" s="30"/>
    </row>
    <row r="21" spans="1:7" x14ac:dyDescent="0.35">
      <c r="A21" s="16" t="s">
        <v>42</v>
      </c>
    </row>
    <row r="22" spans="1:7" ht="12.75" customHeight="1" x14ac:dyDescent="0.35">
      <c r="A22" s="17" t="s">
        <v>43</v>
      </c>
    </row>
    <row r="23" spans="1:7" ht="12.75" customHeight="1" x14ac:dyDescent="0.35">
      <c r="A23" s="18" t="s">
        <v>44</v>
      </c>
    </row>
    <row r="24" spans="1:7" ht="12.75" customHeight="1" x14ac:dyDescent="0.35">
      <c r="A24" s="19" t="s">
        <v>45</v>
      </c>
    </row>
    <row r="25" spans="1:7" ht="12.75" customHeight="1" x14ac:dyDescent="0.35">
      <c r="A25" s="20" t="s">
        <v>46</v>
      </c>
    </row>
  </sheetData>
  <sheetProtection algorithmName="SHA-512" hashValue="jKmLz1FrIDmtJ4K5hgunydw2zf5oyRAQfT8Xve2D3L/TZCKNVZq0PK1vzoUyGjfb0ud9OD1hP18oorREarCa1Q==" saltValue="PXjmToR8Z+8Ndjp6ODt1PQ==" spinCount="100000" sheet="1" objects="1" scenarios="1"/>
  <mergeCells count="10">
    <mergeCell ref="A15:G15"/>
    <mergeCell ref="A16:G16"/>
    <mergeCell ref="A17:G17"/>
    <mergeCell ref="A18:G18"/>
    <mergeCell ref="A19:G19"/>
    <mergeCell ref="A1:G1"/>
    <mergeCell ref="A2:G2"/>
    <mergeCell ref="A11:G11"/>
    <mergeCell ref="A12:G12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rightToLeft="1" zoomScaleNormal="100" workbookViewId="0">
      <selection activeCell="A17" sqref="A17"/>
    </sheetView>
  </sheetViews>
  <sheetFormatPr defaultColWidth="8.6328125" defaultRowHeight="14.5" x14ac:dyDescent="0.35"/>
  <cols>
    <col min="1" max="1" width="22" style="7" customWidth="1"/>
    <col min="2" max="3" width="16" style="7" customWidth="1"/>
    <col min="4" max="4" width="12" style="7" customWidth="1"/>
    <col min="5" max="7" width="18" style="7" customWidth="1"/>
    <col min="8" max="16384" width="8.6328125" style="7"/>
  </cols>
  <sheetData>
    <row r="1" spans="1:7" ht="27.75" customHeight="1" x14ac:dyDescent="0.35">
      <c r="A1" s="6" t="s">
        <v>64</v>
      </c>
      <c r="B1" s="6"/>
      <c r="C1" s="6"/>
      <c r="D1" s="6"/>
      <c r="E1" s="6"/>
      <c r="F1" s="6"/>
      <c r="G1" s="6"/>
    </row>
    <row r="2" spans="1:7" ht="15" customHeight="1" x14ac:dyDescent="0.35">
      <c r="A2" s="8" t="s">
        <v>65</v>
      </c>
      <c r="B2" s="8"/>
      <c r="C2" s="8"/>
      <c r="D2" s="8"/>
      <c r="E2" s="8"/>
      <c r="F2" s="8"/>
      <c r="G2" s="8"/>
    </row>
    <row r="4" spans="1:7" ht="16.5" customHeight="1" x14ac:dyDescent="0.35">
      <c r="A4" s="27" t="s">
        <v>49</v>
      </c>
      <c r="B4" s="11">
        <v>500</v>
      </c>
    </row>
    <row r="6" spans="1:7" ht="21.75" customHeight="1" x14ac:dyDescent="0.35">
      <c r="A6" s="9" t="s">
        <v>50</v>
      </c>
      <c r="B6" s="9" t="s">
        <v>51</v>
      </c>
      <c r="C6" s="9" t="s">
        <v>53</v>
      </c>
      <c r="D6" s="9" t="s">
        <v>66</v>
      </c>
      <c r="E6" s="9" t="s">
        <v>67</v>
      </c>
      <c r="F6" s="9" t="s">
        <v>68</v>
      </c>
      <c r="G6" s="9" t="s">
        <v>69</v>
      </c>
    </row>
    <row r="7" spans="1:7" ht="16.5" customHeight="1" x14ac:dyDescent="0.35">
      <c r="A7" s="10" t="s">
        <v>29</v>
      </c>
      <c r="B7" s="11">
        <v>12000</v>
      </c>
      <c r="C7" s="11">
        <v>500</v>
      </c>
      <c r="D7" s="34">
        <v>1</v>
      </c>
      <c r="E7" s="22">
        <f>IFERROR(NPER(0.06/12,-C7,B7),0)</f>
        <v>25.630537856567273</v>
      </c>
      <c r="F7" s="22">
        <f ca="1">IFERROR(NPER(0.06/12,-(C7+IF(d7min(D$7:D$10),$B$4,0)),B7),0)</f>
        <v>0</v>
      </c>
      <c r="G7" s="32">
        <f>IF(D7=1,0,SUMIF(D$7:D$10,"&lt;"&amp;D7,C$7:C$10))</f>
        <v>0</v>
      </c>
    </row>
    <row r="8" spans="1:7" ht="16.5" customHeight="1" x14ac:dyDescent="0.35">
      <c r="A8" s="10" t="s">
        <v>27</v>
      </c>
      <c r="B8" s="11">
        <v>45000</v>
      </c>
      <c r="C8" s="11">
        <v>1200</v>
      </c>
      <c r="D8" s="34">
        <v>2</v>
      </c>
      <c r="E8" s="22">
        <f>IFERROR(NPER(0.06/12,-C8,B8),0)</f>
        <v>41.631606337245429</v>
      </c>
      <c r="F8" s="22">
        <f ca="1">IFERROR(NPER(0.06/12,-(C8+IF(d8min(D$7:D$10),$B$4,0)),B8),0)</f>
        <v>0</v>
      </c>
      <c r="G8" s="32">
        <f>IF(D8=1,0,SUMIF(D$7:D$10,"&lt;"&amp;D8,C$7:C$10))</f>
        <v>500</v>
      </c>
    </row>
    <row r="9" spans="1:7" ht="16.5" customHeight="1" x14ac:dyDescent="0.35">
      <c r="A9" s="10" t="s">
        <v>31</v>
      </c>
      <c r="B9" s="11">
        <v>85000</v>
      </c>
      <c r="C9" s="11">
        <v>1800</v>
      </c>
      <c r="D9" s="34">
        <v>3</v>
      </c>
      <c r="E9" s="22">
        <f>IFERROR(NPER(0.06/12,-C9,B9),0)</f>
        <v>54.001141281223923</v>
      </c>
      <c r="F9" s="22">
        <f ca="1">IFERROR(NPER(0.06/12,-(C9+IF(d9min(D$7:D$10),$B$4,0)),B9),0)</f>
        <v>0</v>
      </c>
      <c r="G9" s="32">
        <f>IF(D9=1,0,SUMIF(D$7:D$10,"&lt;"&amp;D9,C$7:C$10))</f>
        <v>1700</v>
      </c>
    </row>
    <row r="10" spans="1:7" ht="16.5" customHeight="1" x14ac:dyDescent="0.35">
      <c r="A10" s="10" t="s">
        <v>32</v>
      </c>
      <c r="B10" s="11">
        <v>350000</v>
      </c>
      <c r="C10" s="11">
        <v>2200</v>
      </c>
      <c r="D10" s="34">
        <v>4</v>
      </c>
      <c r="E10" s="22">
        <f>IFERROR(NPER(0.06/12,-C10,B10),0)</f>
        <v>318.18583425713825</v>
      </c>
      <c r="F10" s="22">
        <f ca="1">IFERROR(NPER(0.06/12,-(C10+IF(d10min(D$7:D$10),$B$4,0)),B10),0)</f>
        <v>0</v>
      </c>
      <c r="G10" s="32">
        <f>IF(D10=1,0,SUMIF(D$7:D$10,"&lt;"&amp;D10,C$7:C$10))</f>
        <v>3500</v>
      </c>
    </row>
    <row r="12" spans="1:7" ht="21.75" customHeight="1" x14ac:dyDescent="0.35">
      <c r="A12" s="35" t="s">
        <v>70</v>
      </c>
      <c r="B12" s="35"/>
      <c r="C12" s="35"/>
      <c r="D12" s="35"/>
      <c r="E12" s="35"/>
      <c r="F12" s="35"/>
      <c r="G12" s="35"/>
    </row>
    <row r="14" spans="1:7" ht="21.75" customHeight="1" x14ac:dyDescent="0.35">
      <c r="A14" s="14" t="s">
        <v>71</v>
      </c>
      <c r="B14" s="14"/>
      <c r="C14" s="14"/>
      <c r="D14" s="14"/>
      <c r="E14" s="14"/>
      <c r="F14" s="14"/>
      <c r="G14" s="14"/>
    </row>
    <row r="15" spans="1:7" ht="19.5" customHeight="1" x14ac:dyDescent="0.35">
      <c r="A15" s="9" t="s">
        <v>72</v>
      </c>
      <c r="B15" s="9" t="s">
        <v>73</v>
      </c>
      <c r="C15" s="9" t="s">
        <v>74</v>
      </c>
      <c r="D15" s="36" t="s">
        <v>75</v>
      </c>
      <c r="E15" s="36"/>
      <c r="F15" s="36"/>
      <c r="G15" s="36"/>
    </row>
    <row r="16" spans="1:7" ht="16.5" customHeight="1" x14ac:dyDescent="0.35">
      <c r="A16" s="27" t="s">
        <v>76</v>
      </c>
      <c r="B16" s="37" t="s">
        <v>77</v>
      </c>
      <c r="C16" s="38" t="s">
        <v>78</v>
      </c>
      <c r="D16" s="39" t="s">
        <v>79</v>
      </c>
      <c r="E16" s="39"/>
      <c r="F16" s="39"/>
      <c r="G16" s="39"/>
    </row>
    <row r="17" spans="1:7" ht="16.5" customHeight="1" x14ac:dyDescent="0.35">
      <c r="A17" s="27" t="s">
        <v>80</v>
      </c>
      <c r="B17" s="37" t="s">
        <v>81</v>
      </c>
      <c r="C17" s="38" t="s">
        <v>77</v>
      </c>
      <c r="D17" s="39" t="s">
        <v>82</v>
      </c>
      <c r="E17" s="39"/>
      <c r="F17" s="39"/>
      <c r="G17" s="39"/>
    </row>
    <row r="18" spans="1:7" ht="16.5" customHeight="1" x14ac:dyDescent="0.35">
      <c r="A18" s="27" t="s">
        <v>83</v>
      </c>
      <c r="B18" s="37" t="s">
        <v>84</v>
      </c>
      <c r="C18" s="38" t="s">
        <v>85</v>
      </c>
      <c r="D18" s="39" t="s">
        <v>86</v>
      </c>
      <c r="E18" s="39"/>
      <c r="F18" s="39"/>
      <c r="G18" s="39"/>
    </row>
    <row r="19" spans="1:7" ht="16.5" customHeight="1" x14ac:dyDescent="0.35">
      <c r="A19" s="27" t="s">
        <v>87</v>
      </c>
      <c r="B19" s="37" t="s">
        <v>88</v>
      </c>
      <c r="C19" s="38" t="s">
        <v>89</v>
      </c>
      <c r="D19" s="39" t="s">
        <v>90</v>
      </c>
      <c r="E19" s="39"/>
      <c r="F19" s="39"/>
      <c r="G19" s="39"/>
    </row>
    <row r="21" spans="1:7" x14ac:dyDescent="0.35">
      <c r="A21" s="16" t="s">
        <v>42</v>
      </c>
    </row>
    <row r="22" spans="1:7" ht="12.75" customHeight="1" x14ac:dyDescent="0.35">
      <c r="A22" s="17" t="s">
        <v>43</v>
      </c>
    </row>
    <row r="23" spans="1:7" ht="12.75" customHeight="1" x14ac:dyDescent="0.35">
      <c r="A23" s="18" t="s">
        <v>44</v>
      </c>
    </row>
    <row r="24" spans="1:7" ht="12.75" customHeight="1" x14ac:dyDescent="0.35">
      <c r="A24" s="19" t="s">
        <v>45</v>
      </c>
    </row>
    <row r="25" spans="1:7" ht="12.75" customHeight="1" x14ac:dyDescent="0.35">
      <c r="A25" s="20" t="s">
        <v>46</v>
      </c>
    </row>
  </sheetData>
  <sheetProtection algorithmName="SHA-512" hashValue="Ir1Dl5xQlXd5C4xSxGdN3BM/N5LjJ0clQezZyB64pAmttlPI1amfPhoXC96YeSGTEsmzE2QWGs+TD1nCo4rjUg==" saltValue="La8TZnIKEAzEGb0H7sZGuQ==" spinCount="100000" sheet="1" objects="1" scenarios="1"/>
  <mergeCells count="9">
    <mergeCell ref="D16:G16"/>
    <mergeCell ref="D17:G17"/>
    <mergeCell ref="D18:G18"/>
    <mergeCell ref="D19:G19"/>
    <mergeCell ref="A1:G1"/>
    <mergeCell ref="A2:G2"/>
    <mergeCell ref="A12:G12"/>
    <mergeCell ref="A14:G14"/>
    <mergeCell ref="D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rightToLeft="1" zoomScaleNormal="100" workbookViewId="0">
      <selection activeCell="J13" sqref="J13"/>
    </sheetView>
  </sheetViews>
  <sheetFormatPr defaultColWidth="8.6328125" defaultRowHeight="14.5" x14ac:dyDescent="0.35"/>
  <cols>
    <col min="1" max="1" width="8" style="7" customWidth="1"/>
    <col min="2" max="2" width="18" style="7" customWidth="1"/>
    <col min="3" max="5" width="14" style="7" customWidth="1"/>
    <col min="6" max="6" width="18" style="7" customWidth="1"/>
    <col min="7" max="8" width="12" style="7" customWidth="1"/>
    <col min="9" max="16384" width="8.6328125" style="7"/>
  </cols>
  <sheetData>
    <row r="1" spans="1:8" ht="27.75" customHeight="1" x14ac:dyDescent="0.35">
      <c r="A1" s="6" t="s">
        <v>91</v>
      </c>
      <c r="B1" s="6"/>
      <c r="C1" s="6"/>
      <c r="D1" s="6"/>
      <c r="E1" s="6"/>
      <c r="F1" s="6"/>
      <c r="G1" s="6"/>
      <c r="H1" s="6"/>
    </row>
    <row r="3" spans="1:8" ht="16.5" customHeight="1" x14ac:dyDescent="0.35">
      <c r="A3" s="27" t="s">
        <v>92</v>
      </c>
      <c r="B3" s="10" t="s">
        <v>29</v>
      </c>
      <c r="D3" s="27" t="s">
        <v>93</v>
      </c>
      <c r="E3" s="11">
        <v>12000</v>
      </c>
    </row>
    <row r="4" spans="1:8" ht="16.5" customHeight="1" x14ac:dyDescent="0.35">
      <c r="A4" s="27" t="s">
        <v>94</v>
      </c>
      <c r="B4" s="12">
        <v>0.02</v>
      </c>
      <c r="D4" s="27" t="s">
        <v>95</v>
      </c>
      <c r="E4" s="11">
        <v>800</v>
      </c>
    </row>
    <row r="6" spans="1:8" ht="19.5" customHeight="1" x14ac:dyDescent="0.35">
      <c r="A6" s="9" t="s">
        <v>96</v>
      </c>
      <c r="B6" s="9" t="s">
        <v>97</v>
      </c>
      <c r="C6" s="9" t="s">
        <v>98</v>
      </c>
      <c r="D6" s="9" t="s">
        <v>99</v>
      </c>
      <c r="E6" s="9" t="s">
        <v>100</v>
      </c>
      <c r="F6" s="9" t="s">
        <v>101</v>
      </c>
      <c r="G6" s="9" t="s">
        <v>102</v>
      </c>
      <c r="H6" s="9" t="s">
        <v>103</v>
      </c>
    </row>
    <row r="7" spans="1:8" ht="13.5" customHeight="1" x14ac:dyDescent="0.35">
      <c r="A7" s="40">
        <v>1</v>
      </c>
      <c r="B7" s="42">
        <f>$E$3</f>
        <v>12000</v>
      </c>
      <c r="C7" s="42">
        <f t="shared" ref="C7:C42" si="0">B7*$B$4</f>
        <v>240</v>
      </c>
      <c r="D7" s="42">
        <f t="shared" ref="D7:D42" si="1">MIN($E$4,B7+C7)</f>
        <v>800</v>
      </c>
      <c r="E7" s="42">
        <f t="shared" ref="E7:E42" si="2">D7-C7</f>
        <v>560</v>
      </c>
      <c r="F7" s="42">
        <f t="shared" ref="F7:F42" si="3">MAX(B7-E7,0)</f>
        <v>11440</v>
      </c>
      <c r="G7" s="43">
        <f t="shared" ref="G7:G42" si="4">1-F7/$E$3</f>
        <v>4.6666666666666634E-2</v>
      </c>
      <c r="H7" s="27" t="s">
        <v>104</v>
      </c>
    </row>
    <row r="8" spans="1:8" ht="13.5" customHeight="1" x14ac:dyDescent="0.35">
      <c r="A8" s="41">
        <v>2</v>
      </c>
      <c r="B8" s="44">
        <f t="shared" ref="B8:B42" si="5">MAX(F7,0)</f>
        <v>11440</v>
      </c>
      <c r="C8" s="44">
        <f t="shared" si="0"/>
        <v>228.8</v>
      </c>
      <c r="D8" s="44">
        <f t="shared" si="1"/>
        <v>800</v>
      </c>
      <c r="E8" s="44">
        <f t="shared" si="2"/>
        <v>571.20000000000005</v>
      </c>
      <c r="F8" s="44">
        <f t="shared" si="3"/>
        <v>10868.8</v>
      </c>
      <c r="G8" s="45">
        <f t="shared" si="4"/>
        <v>9.4266666666666721E-2</v>
      </c>
      <c r="H8" s="27"/>
    </row>
    <row r="9" spans="1:8" ht="13.5" customHeight="1" x14ac:dyDescent="0.35">
      <c r="A9" s="40">
        <v>3</v>
      </c>
      <c r="B9" s="42">
        <f t="shared" si="5"/>
        <v>10868.8</v>
      </c>
      <c r="C9" s="42">
        <f t="shared" si="0"/>
        <v>217.37599999999998</v>
      </c>
      <c r="D9" s="42">
        <f t="shared" si="1"/>
        <v>800</v>
      </c>
      <c r="E9" s="42">
        <f t="shared" si="2"/>
        <v>582.62400000000002</v>
      </c>
      <c r="F9" s="42">
        <f t="shared" si="3"/>
        <v>10286.175999999999</v>
      </c>
      <c r="G9" s="43">
        <f t="shared" si="4"/>
        <v>0.14281866666666676</v>
      </c>
      <c r="H9" s="27"/>
    </row>
    <row r="10" spans="1:8" ht="13.5" customHeight="1" x14ac:dyDescent="0.35">
      <c r="A10" s="41">
        <v>4</v>
      </c>
      <c r="B10" s="44">
        <f t="shared" si="5"/>
        <v>10286.175999999999</v>
      </c>
      <c r="C10" s="44">
        <f t="shared" si="0"/>
        <v>205.72352000000001</v>
      </c>
      <c r="D10" s="44">
        <f t="shared" si="1"/>
        <v>800</v>
      </c>
      <c r="E10" s="44">
        <f t="shared" si="2"/>
        <v>594.27647999999999</v>
      </c>
      <c r="F10" s="44">
        <f t="shared" si="3"/>
        <v>9691.899519999999</v>
      </c>
      <c r="G10" s="45">
        <f t="shared" si="4"/>
        <v>0.19234170666666672</v>
      </c>
      <c r="H10" s="27"/>
    </row>
    <row r="11" spans="1:8" ht="13.5" customHeight="1" x14ac:dyDescent="0.35">
      <c r="A11" s="40">
        <v>5</v>
      </c>
      <c r="B11" s="42">
        <f t="shared" si="5"/>
        <v>9691.899519999999</v>
      </c>
      <c r="C11" s="42">
        <f t="shared" si="0"/>
        <v>193.8379904</v>
      </c>
      <c r="D11" s="42">
        <f t="shared" si="1"/>
        <v>800</v>
      </c>
      <c r="E11" s="42">
        <f t="shared" si="2"/>
        <v>606.16200960000003</v>
      </c>
      <c r="F11" s="42">
        <f t="shared" si="3"/>
        <v>9085.7375103999984</v>
      </c>
      <c r="G11" s="43">
        <f t="shared" si="4"/>
        <v>0.24285520746666678</v>
      </c>
      <c r="H11" s="27"/>
    </row>
    <row r="12" spans="1:8" ht="13.5" customHeight="1" x14ac:dyDescent="0.35">
      <c r="A12" s="41">
        <v>6</v>
      </c>
      <c r="B12" s="44">
        <f t="shared" si="5"/>
        <v>9085.7375103999984</v>
      </c>
      <c r="C12" s="44">
        <f t="shared" si="0"/>
        <v>181.71475020799997</v>
      </c>
      <c r="D12" s="44">
        <f t="shared" si="1"/>
        <v>800</v>
      </c>
      <c r="E12" s="44">
        <f t="shared" si="2"/>
        <v>618.28524979200006</v>
      </c>
      <c r="F12" s="44">
        <f t="shared" si="3"/>
        <v>8467.4522606079991</v>
      </c>
      <c r="G12" s="45">
        <f t="shared" si="4"/>
        <v>0.29437897828266679</v>
      </c>
      <c r="H12" s="27"/>
    </row>
    <row r="13" spans="1:8" ht="13.5" customHeight="1" x14ac:dyDescent="0.35">
      <c r="A13" s="40">
        <v>7</v>
      </c>
      <c r="B13" s="42">
        <f t="shared" si="5"/>
        <v>8467.4522606079991</v>
      </c>
      <c r="C13" s="42">
        <f t="shared" si="0"/>
        <v>169.34904521215998</v>
      </c>
      <c r="D13" s="42">
        <f t="shared" si="1"/>
        <v>800</v>
      </c>
      <c r="E13" s="42">
        <f t="shared" si="2"/>
        <v>630.65095478783996</v>
      </c>
      <c r="F13" s="42">
        <f t="shared" si="3"/>
        <v>7836.8013058201595</v>
      </c>
      <c r="G13" s="43">
        <f t="shared" si="4"/>
        <v>0.34693322451498676</v>
      </c>
      <c r="H13" s="27"/>
    </row>
    <row r="14" spans="1:8" ht="13.5" customHeight="1" x14ac:dyDescent="0.35">
      <c r="A14" s="41">
        <v>8</v>
      </c>
      <c r="B14" s="44">
        <f t="shared" si="5"/>
        <v>7836.8013058201595</v>
      </c>
      <c r="C14" s="44">
        <f t="shared" si="0"/>
        <v>156.7360261164032</v>
      </c>
      <c r="D14" s="44">
        <f t="shared" si="1"/>
        <v>800</v>
      </c>
      <c r="E14" s="44">
        <f t="shared" si="2"/>
        <v>643.2639738835968</v>
      </c>
      <c r="F14" s="44">
        <f t="shared" si="3"/>
        <v>7193.5373319365626</v>
      </c>
      <c r="G14" s="45">
        <f t="shared" si="4"/>
        <v>0.40053855567195307</v>
      </c>
      <c r="H14" s="27"/>
    </row>
    <row r="15" spans="1:8" ht="13.5" customHeight="1" x14ac:dyDescent="0.35">
      <c r="A15" s="40">
        <v>9</v>
      </c>
      <c r="B15" s="42">
        <f t="shared" si="5"/>
        <v>7193.5373319365626</v>
      </c>
      <c r="C15" s="42">
        <f t="shared" si="0"/>
        <v>143.87074663873125</v>
      </c>
      <c r="D15" s="42">
        <f t="shared" si="1"/>
        <v>800</v>
      </c>
      <c r="E15" s="42">
        <f t="shared" si="2"/>
        <v>656.12925336126875</v>
      </c>
      <c r="F15" s="42">
        <f t="shared" si="3"/>
        <v>6537.408078575294</v>
      </c>
      <c r="G15" s="43">
        <f t="shared" si="4"/>
        <v>0.45521599345205888</v>
      </c>
      <c r="H15" s="27"/>
    </row>
    <row r="16" spans="1:8" ht="13.5" customHeight="1" x14ac:dyDescent="0.35">
      <c r="A16" s="41">
        <v>10</v>
      </c>
      <c r="B16" s="44">
        <f t="shared" si="5"/>
        <v>6537.408078575294</v>
      </c>
      <c r="C16" s="44">
        <f t="shared" si="0"/>
        <v>130.74816157150588</v>
      </c>
      <c r="D16" s="44">
        <f t="shared" si="1"/>
        <v>800</v>
      </c>
      <c r="E16" s="44">
        <f t="shared" si="2"/>
        <v>669.25183842849412</v>
      </c>
      <c r="F16" s="44">
        <f t="shared" si="3"/>
        <v>5868.1562401468</v>
      </c>
      <c r="G16" s="45">
        <f t="shared" si="4"/>
        <v>0.51098697998776665</v>
      </c>
      <c r="H16" s="27"/>
    </row>
    <row r="17" spans="1:8" ht="13.5" customHeight="1" x14ac:dyDescent="0.35">
      <c r="A17" s="40">
        <v>11</v>
      </c>
      <c r="B17" s="42">
        <f t="shared" si="5"/>
        <v>5868.1562401468</v>
      </c>
      <c r="C17" s="42">
        <f t="shared" si="0"/>
        <v>117.363124802936</v>
      </c>
      <c r="D17" s="42">
        <f t="shared" si="1"/>
        <v>800</v>
      </c>
      <c r="E17" s="42">
        <f t="shared" si="2"/>
        <v>682.636875197064</v>
      </c>
      <c r="F17" s="42">
        <f t="shared" si="3"/>
        <v>5185.519364949736</v>
      </c>
      <c r="G17" s="43">
        <f t="shared" si="4"/>
        <v>0.56787338625418871</v>
      </c>
      <c r="H17" s="27"/>
    </row>
    <row r="18" spans="1:8" ht="13.5" customHeight="1" x14ac:dyDescent="0.35">
      <c r="A18" s="41">
        <v>12</v>
      </c>
      <c r="B18" s="44">
        <f t="shared" si="5"/>
        <v>5185.519364949736</v>
      </c>
      <c r="C18" s="44">
        <f t="shared" si="0"/>
        <v>103.71038729899472</v>
      </c>
      <c r="D18" s="44">
        <f t="shared" si="1"/>
        <v>800</v>
      </c>
      <c r="E18" s="44">
        <f t="shared" si="2"/>
        <v>696.28961270100524</v>
      </c>
      <c r="F18" s="44">
        <f t="shared" si="3"/>
        <v>4489.2297522487306</v>
      </c>
      <c r="G18" s="45">
        <f t="shared" si="4"/>
        <v>0.62589752064593918</v>
      </c>
      <c r="H18" s="27"/>
    </row>
    <row r="19" spans="1:8" ht="13.5" customHeight="1" x14ac:dyDescent="0.35">
      <c r="A19" s="40">
        <v>13</v>
      </c>
      <c r="B19" s="42">
        <f t="shared" si="5"/>
        <v>4489.2297522487306</v>
      </c>
      <c r="C19" s="42">
        <f t="shared" si="0"/>
        <v>89.784595044974608</v>
      </c>
      <c r="D19" s="42">
        <f t="shared" si="1"/>
        <v>800</v>
      </c>
      <c r="E19" s="42">
        <f t="shared" si="2"/>
        <v>710.21540495502541</v>
      </c>
      <c r="F19" s="42">
        <f t="shared" si="3"/>
        <v>3779.0143472937052</v>
      </c>
      <c r="G19" s="43">
        <f t="shared" si="4"/>
        <v>0.68508213772552451</v>
      </c>
      <c r="H19" s="27"/>
    </row>
    <row r="20" spans="1:8" ht="13.5" customHeight="1" x14ac:dyDescent="0.35">
      <c r="A20" s="41">
        <v>14</v>
      </c>
      <c r="B20" s="44">
        <f t="shared" si="5"/>
        <v>3779.0143472937052</v>
      </c>
      <c r="C20" s="44">
        <f t="shared" si="0"/>
        <v>75.580286945874107</v>
      </c>
      <c r="D20" s="44">
        <f t="shared" si="1"/>
        <v>800</v>
      </c>
      <c r="E20" s="44">
        <f t="shared" si="2"/>
        <v>724.41971305412585</v>
      </c>
      <c r="F20" s="44">
        <f t="shared" si="3"/>
        <v>3054.5946342395791</v>
      </c>
      <c r="G20" s="45">
        <f t="shared" si="4"/>
        <v>0.74545044714670172</v>
      </c>
      <c r="H20" s="27"/>
    </row>
    <row r="21" spans="1:8" ht="13.5" customHeight="1" x14ac:dyDescent="0.35">
      <c r="A21" s="40">
        <v>15</v>
      </c>
      <c r="B21" s="42">
        <f t="shared" si="5"/>
        <v>3054.5946342395791</v>
      </c>
      <c r="C21" s="42">
        <f t="shared" si="0"/>
        <v>61.091892684791581</v>
      </c>
      <c r="D21" s="42">
        <f t="shared" si="1"/>
        <v>800</v>
      </c>
      <c r="E21" s="42">
        <f t="shared" si="2"/>
        <v>738.90810731520844</v>
      </c>
      <c r="F21" s="42">
        <f t="shared" si="3"/>
        <v>2315.6865269243708</v>
      </c>
      <c r="G21" s="43">
        <f t="shared" si="4"/>
        <v>0.80702612275630248</v>
      </c>
      <c r="H21" s="27"/>
    </row>
    <row r="22" spans="1:8" ht="13.5" customHeight="1" x14ac:dyDescent="0.35">
      <c r="A22" s="41">
        <v>16</v>
      </c>
      <c r="B22" s="44">
        <f t="shared" si="5"/>
        <v>2315.6865269243708</v>
      </c>
      <c r="C22" s="44">
        <f t="shared" si="0"/>
        <v>46.31373053848742</v>
      </c>
      <c r="D22" s="44">
        <f t="shared" si="1"/>
        <v>800</v>
      </c>
      <c r="E22" s="44">
        <f t="shared" si="2"/>
        <v>753.68626946151255</v>
      </c>
      <c r="F22" s="44">
        <f t="shared" si="3"/>
        <v>1562.0002574628584</v>
      </c>
      <c r="G22" s="45">
        <f t="shared" si="4"/>
        <v>0.86983331187809509</v>
      </c>
      <c r="H22" s="27"/>
    </row>
    <row r="23" spans="1:8" ht="13.5" customHeight="1" x14ac:dyDescent="0.35">
      <c r="A23" s="40">
        <v>17</v>
      </c>
      <c r="B23" s="42">
        <f t="shared" si="5"/>
        <v>1562.0002574628584</v>
      </c>
      <c r="C23" s="42">
        <f t="shared" si="0"/>
        <v>31.240005149257168</v>
      </c>
      <c r="D23" s="42">
        <f t="shared" si="1"/>
        <v>800</v>
      </c>
      <c r="E23" s="42">
        <f t="shared" si="2"/>
        <v>768.75999485074283</v>
      </c>
      <c r="F23" s="42">
        <f t="shared" si="3"/>
        <v>793.24026261211554</v>
      </c>
      <c r="G23" s="43">
        <f t="shared" si="4"/>
        <v>0.9338966447823237</v>
      </c>
      <c r="H23" s="27"/>
    </row>
    <row r="24" spans="1:8" ht="13.5" customHeight="1" x14ac:dyDescent="0.35">
      <c r="A24" s="41">
        <v>18</v>
      </c>
      <c r="B24" s="44">
        <f t="shared" si="5"/>
        <v>793.24026261211554</v>
      </c>
      <c r="C24" s="44">
        <f t="shared" si="0"/>
        <v>15.864805252242311</v>
      </c>
      <c r="D24" s="44">
        <f t="shared" si="1"/>
        <v>800</v>
      </c>
      <c r="E24" s="44">
        <f t="shared" si="2"/>
        <v>784.13519474775774</v>
      </c>
      <c r="F24" s="44">
        <f t="shared" si="3"/>
        <v>9.1050678643578067</v>
      </c>
      <c r="G24" s="45">
        <f t="shared" si="4"/>
        <v>0.9992412443446369</v>
      </c>
      <c r="H24" s="27"/>
    </row>
    <row r="25" spans="1:8" ht="13.5" customHeight="1" x14ac:dyDescent="0.35">
      <c r="A25" s="40">
        <v>19</v>
      </c>
      <c r="B25" s="42">
        <f t="shared" si="5"/>
        <v>9.1050678643578067</v>
      </c>
      <c r="C25" s="42">
        <f t="shared" si="0"/>
        <v>0.18210135728715612</v>
      </c>
      <c r="D25" s="42">
        <f t="shared" si="1"/>
        <v>9.2871692216449624</v>
      </c>
      <c r="E25" s="42">
        <f t="shared" si="2"/>
        <v>9.1050678643578067</v>
      </c>
      <c r="F25" s="42">
        <f t="shared" si="3"/>
        <v>0</v>
      </c>
      <c r="G25" s="43">
        <f t="shared" si="4"/>
        <v>1</v>
      </c>
      <c r="H25" s="27"/>
    </row>
    <row r="26" spans="1:8" ht="13.5" customHeight="1" x14ac:dyDescent="0.35">
      <c r="A26" s="41">
        <v>20</v>
      </c>
      <c r="B26" s="44">
        <f t="shared" si="5"/>
        <v>0</v>
      </c>
      <c r="C26" s="44">
        <f t="shared" si="0"/>
        <v>0</v>
      </c>
      <c r="D26" s="44">
        <f t="shared" si="1"/>
        <v>0</v>
      </c>
      <c r="E26" s="44">
        <f t="shared" si="2"/>
        <v>0</v>
      </c>
      <c r="F26" s="44">
        <f t="shared" si="3"/>
        <v>0</v>
      </c>
      <c r="G26" s="45">
        <f t="shared" si="4"/>
        <v>1</v>
      </c>
      <c r="H26" s="27"/>
    </row>
    <row r="27" spans="1:8" ht="13.5" customHeight="1" x14ac:dyDescent="0.35">
      <c r="A27" s="40">
        <v>21</v>
      </c>
      <c r="B27" s="42">
        <f t="shared" si="5"/>
        <v>0</v>
      </c>
      <c r="C27" s="42">
        <f t="shared" si="0"/>
        <v>0</v>
      </c>
      <c r="D27" s="42">
        <f t="shared" si="1"/>
        <v>0</v>
      </c>
      <c r="E27" s="42">
        <f t="shared" si="2"/>
        <v>0</v>
      </c>
      <c r="F27" s="42">
        <f t="shared" si="3"/>
        <v>0</v>
      </c>
      <c r="G27" s="43">
        <f t="shared" si="4"/>
        <v>1</v>
      </c>
      <c r="H27" s="27"/>
    </row>
    <row r="28" spans="1:8" ht="13.5" customHeight="1" x14ac:dyDescent="0.35">
      <c r="A28" s="41">
        <v>22</v>
      </c>
      <c r="B28" s="44">
        <f t="shared" si="5"/>
        <v>0</v>
      </c>
      <c r="C28" s="44">
        <f t="shared" si="0"/>
        <v>0</v>
      </c>
      <c r="D28" s="44">
        <f t="shared" si="1"/>
        <v>0</v>
      </c>
      <c r="E28" s="44">
        <f t="shared" si="2"/>
        <v>0</v>
      </c>
      <c r="F28" s="44">
        <f t="shared" si="3"/>
        <v>0</v>
      </c>
      <c r="G28" s="45">
        <f t="shared" si="4"/>
        <v>1</v>
      </c>
      <c r="H28" s="27"/>
    </row>
    <row r="29" spans="1:8" ht="13.5" customHeight="1" x14ac:dyDescent="0.35">
      <c r="A29" s="40">
        <v>23</v>
      </c>
      <c r="B29" s="42">
        <f t="shared" si="5"/>
        <v>0</v>
      </c>
      <c r="C29" s="42">
        <f t="shared" si="0"/>
        <v>0</v>
      </c>
      <c r="D29" s="42">
        <f t="shared" si="1"/>
        <v>0</v>
      </c>
      <c r="E29" s="42">
        <f t="shared" si="2"/>
        <v>0</v>
      </c>
      <c r="F29" s="42">
        <f t="shared" si="3"/>
        <v>0</v>
      </c>
      <c r="G29" s="43">
        <f t="shared" si="4"/>
        <v>1</v>
      </c>
      <c r="H29" s="27"/>
    </row>
    <row r="30" spans="1:8" ht="13.5" customHeight="1" x14ac:dyDescent="0.35">
      <c r="A30" s="41">
        <v>24</v>
      </c>
      <c r="B30" s="44">
        <f t="shared" si="5"/>
        <v>0</v>
      </c>
      <c r="C30" s="44">
        <f t="shared" si="0"/>
        <v>0</v>
      </c>
      <c r="D30" s="44">
        <f t="shared" si="1"/>
        <v>0</v>
      </c>
      <c r="E30" s="44">
        <f t="shared" si="2"/>
        <v>0</v>
      </c>
      <c r="F30" s="44">
        <f t="shared" si="3"/>
        <v>0</v>
      </c>
      <c r="G30" s="45">
        <f t="shared" si="4"/>
        <v>1</v>
      </c>
      <c r="H30" s="27"/>
    </row>
    <row r="31" spans="1:8" ht="13.5" customHeight="1" x14ac:dyDescent="0.35">
      <c r="A31" s="40">
        <v>25</v>
      </c>
      <c r="B31" s="42">
        <f t="shared" si="5"/>
        <v>0</v>
      </c>
      <c r="C31" s="42">
        <f t="shared" si="0"/>
        <v>0</v>
      </c>
      <c r="D31" s="42">
        <f t="shared" si="1"/>
        <v>0</v>
      </c>
      <c r="E31" s="42">
        <f t="shared" si="2"/>
        <v>0</v>
      </c>
      <c r="F31" s="42">
        <f t="shared" si="3"/>
        <v>0</v>
      </c>
      <c r="G31" s="43">
        <f t="shared" si="4"/>
        <v>1</v>
      </c>
      <c r="H31" s="27"/>
    </row>
    <row r="32" spans="1:8" ht="13.5" customHeight="1" x14ac:dyDescent="0.35">
      <c r="A32" s="41">
        <v>26</v>
      </c>
      <c r="B32" s="44">
        <f t="shared" si="5"/>
        <v>0</v>
      </c>
      <c r="C32" s="44">
        <f t="shared" si="0"/>
        <v>0</v>
      </c>
      <c r="D32" s="44">
        <f t="shared" si="1"/>
        <v>0</v>
      </c>
      <c r="E32" s="44">
        <f t="shared" si="2"/>
        <v>0</v>
      </c>
      <c r="F32" s="44">
        <f t="shared" si="3"/>
        <v>0</v>
      </c>
      <c r="G32" s="45">
        <f t="shared" si="4"/>
        <v>1</v>
      </c>
      <c r="H32" s="27"/>
    </row>
    <row r="33" spans="1:8" ht="13.5" customHeight="1" x14ac:dyDescent="0.35">
      <c r="A33" s="40">
        <v>27</v>
      </c>
      <c r="B33" s="42">
        <f t="shared" si="5"/>
        <v>0</v>
      </c>
      <c r="C33" s="42">
        <f t="shared" si="0"/>
        <v>0</v>
      </c>
      <c r="D33" s="42">
        <f t="shared" si="1"/>
        <v>0</v>
      </c>
      <c r="E33" s="42">
        <f t="shared" si="2"/>
        <v>0</v>
      </c>
      <c r="F33" s="42">
        <f t="shared" si="3"/>
        <v>0</v>
      </c>
      <c r="G33" s="43">
        <f t="shared" si="4"/>
        <v>1</v>
      </c>
      <c r="H33" s="27"/>
    </row>
    <row r="34" spans="1:8" ht="13.5" customHeight="1" x14ac:dyDescent="0.35">
      <c r="A34" s="41">
        <v>28</v>
      </c>
      <c r="B34" s="44">
        <f t="shared" si="5"/>
        <v>0</v>
      </c>
      <c r="C34" s="44">
        <f t="shared" si="0"/>
        <v>0</v>
      </c>
      <c r="D34" s="44">
        <f t="shared" si="1"/>
        <v>0</v>
      </c>
      <c r="E34" s="44">
        <f t="shared" si="2"/>
        <v>0</v>
      </c>
      <c r="F34" s="44">
        <f t="shared" si="3"/>
        <v>0</v>
      </c>
      <c r="G34" s="45">
        <f t="shared" si="4"/>
        <v>1</v>
      </c>
      <c r="H34" s="27"/>
    </row>
    <row r="35" spans="1:8" ht="13.5" customHeight="1" x14ac:dyDescent="0.35">
      <c r="A35" s="40">
        <v>29</v>
      </c>
      <c r="B35" s="42">
        <f t="shared" si="5"/>
        <v>0</v>
      </c>
      <c r="C35" s="42">
        <f t="shared" si="0"/>
        <v>0</v>
      </c>
      <c r="D35" s="42">
        <f t="shared" si="1"/>
        <v>0</v>
      </c>
      <c r="E35" s="42">
        <f t="shared" si="2"/>
        <v>0</v>
      </c>
      <c r="F35" s="42">
        <f t="shared" si="3"/>
        <v>0</v>
      </c>
      <c r="G35" s="43">
        <f t="shared" si="4"/>
        <v>1</v>
      </c>
      <c r="H35" s="27"/>
    </row>
    <row r="36" spans="1:8" ht="13.5" customHeight="1" x14ac:dyDescent="0.35">
      <c r="A36" s="41">
        <v>30</v>
      </c>
      <c r="B36" s="44">
        <f t="shared" si="5"/>
        <v>0</v>
      </c>
      <c r="C36" s="44">
        <f t="shared" si="0"/>
        <v>0</v>
      </c>
      <c r="D36" s="44">
        <f t="shared" si="1"/>
        <v>0</v>
      </c>
      <c r="E36" s="44">
        <f t="shared" si="2"/>
        <v>0</v>
      </c>
      <c r="F36" s="44">
        <f t="shared" si="3"/>
        <v>0</v>
      </c>
      <c r="G36" s="45">
        <f t="shared" si="4"/>
        <v>1</v>
      </c>
      <c r="H36" s="27"/>
    </row>
    <row r="37" spans="1:8" ht="13.5" customHeight="1" x14ac:dyDescent="0.35">
      <c r="A37" s="40">
        <v>31</v>
      </c>
      <c r="B37" s="42">
        <f t="shared" si="5"/>
        <v>0</v>
      </c>
      <c r="C37" s="42">
        <f t="shared" si="0"/>
        <v>0</v>
      </c>
      <c r="D37" s="42">
        <f t="shared" si="1"/>
        <v>0</v>
      </c>
      <c r="E37" s="42">
        <f t="shared" si="2"/>
        <v>0</v>
      </c>
      <c r="F37" s="42">
        <f t="shared" si="3"/>
        <v>0</v>
      </c>
      <c r="G37" s="43">
        <f t="shared" si="4"/>
        <v>1</v>
      </c>
      <c r="H37" s="27"/>
    </row>
    <row r="38" spans="1:8" ht="13.5" customHeight="1" x14ac:dyDescent="0.35">
      <c r="A38" s="41">
        <v>32</v>
      </c>
      <c r="B38" s="44">
        <f t="shared" si="5"/>
        <v>0</v>
      </c>
      <c r="C38" s="44">
        <f t="shared" si="0"/>
        <v>0</v>
      </c>
      <c r="D38" s="44">
        <f t="shared" si="1"/>
        <v>0</v>
      </c>
      <c r="E38" s="44">
        <f t="shared" si="2"/>
        <v>0</v>
      </c>
      <c r="F38" s="44">
        <f t="shared" si="3"/>
        <v>0</v>
      </c>
      <c r="G38" s="45">
        <f t="shared" si="4"/>
        <v>1</v>
      </c>
      <c r="H38" s="27"/>
    </row>
    <row r="39" spans="1:8" ht="13.5" customHeight="1" x14ac:dyDescent="0.35">
      <c r="A39" s="40">
        <v>33</v>
      </c>
      <c r="B39" s="42">
        <f t="shared" si="5"/>
        <v>0</v>
      </c>
      <c r="C39" s="42">
        <f t="shared" si="0"/>
        <v>0</v>
      </c>
      <c r="D39" s="42">
        <f t="shared" si="1"/>
        <v>0</v>
      </c>
      <c r="E39" s="42">
        <f t="shared" si="2"/>
        <v>0</v>
      </c>
      <c r="F39" s="42">
        <f t="shared" si="3"/>
        <v>0</v>
      </c>
      <c r="G39" s="43">
        <f t="shared" si="4"/>
        <v>1</v>
      </c>
      <c r="H39" s="27"/>
    </row>
    <row r="40" spans="1:8" ht="13.5" customHeight="1" x14ac:dyDescent="0.35">
      <c r="A40" s="41">
        <v>34</v>
      </c>
      <c r="B40" s="44">
        <f t="shared" si="5"/>
        <v>0</v>
      </c>
      <c r="C40" s="44">
        <f t="shared" si="0"/>
        <v>0</v>
      </c>
      <c r="D40" s="44">
        <f t="shared" si="1"/>
        <v>0</v>
      </c>
      <c r="E40" s="44">
        <f t="shared" si="2"/>
        <v>0</v>
      </c>
      <c r="F40" s="44">
        <f t="shared" si="3"/>
        <v>0</v>
      </c>
      <c r="G40" s="45">
        <f t="shared" si="4"/>
        <v>1</v>
      </c>
      <c r="H40" s="27"/>
    </row>
    <row r="41" spans="1:8" ht="13.5" customHeight="1" x14ac:dyDescent="0.35">
      <c r="A41" s="40">
        <v>35</v>
      </c>
      <c r="B41" s="42">
        <f t="shared" si="5"/>
        <v>0</v>
      </c>
      <c r="C41" s="42">
        <f t="shared" si="0"/>
        <v>0</v>
      </c>
      <c r="D41" s="42">
        <f t="shared" si="1"/>
        <v>0</v>
      </c>
      <c r="E41" s="42">
        <f t="shared" si="2"/>
        <v>0</v>
      </c>
      <c r="F41" s="42">
        <f t="shared" si="3"/>
        <v>0</v>
      </c>
      <c r="G41" s="43">
        <f t="shared" si="4"/>
        <v>1</v>
      </c>
      <c r="H41" s="27"/>
    </row>
    <row r="42" spans="1:8" ht="13.5" customHeight="1" x14ac:dyDescent="0.35">
      <c r="A42" s="41">
        <v>36</v>
      </c>
      <c r="B42" s="46">
        <f t="shared" si="5"/>
        <v>0</v>
      </c>
      <c r="C42" s="46">
        <f t="shared" si="0"/>
        <v>0</v>
      </c>
      <c r="D42" s="46">
        <f t="shared" si="1"/>
        <v>0</v>
      </c>
      <c r="E42" s="46">
        <f t="shared" si="2"/>
        <v>0</v>
      </c>
      <c r="F42" s="46">
        <f t="shared" si="3"/>
        <v>0</v>
      </c>
      <c r="G42" s="47">
        <f t="shared" si="4"/>
        <v>1</v>
      </c>
      <c r="H42" s="27"/>
    </row>
    <row r="44" spans="1:8" x14ac:dyDescent="0.35">
      <c r="A44" s="16" t="s">
        <v>42</v>
      </c>
    </row>
    <row r="45" spans="1:8" ht="12.75" customHeight="1" x14ac:dyDescent="0.35">
      <c r="A45" s="17" t="s">
        <v>43</v>
      </c>
    </row>
    <row r="46" spans="1:8" ht="12.75" customHeight="1" x14ac:dyDescent="0.35">
      <c r="A46" s="18" t="s">
        <v>44</v>
      </c>
    </row>
    <row r="47" spans="1:8" ht="12.75" customHeight="1" x14ac:dyDescent="0.35">
      <c r="A47" s="19" t="s">
        <v>45</v>
      </c>
    </row>
    <row r="48" spans="1:8" ht="12.75" customHeight="1" x14ac:dyDescent="0.35">
      <c r="A48" s="20" t="s">
        <v>46</v>
      </c>
    </row>
  </sheetData>
  <sheetProtection algorithmName="SHA-512" hashValue="MfnLkkaV74PhuJ/S7dgPcvcoxP5TpNLCrnjGSygVMn1Mk9oKM5Xw98xzpx3jxqr+o3WMPCZACV/dQmUSb8Zlcg==" saltValue="7jB/AGOeO4Znc03r58qTmg==" spinCount="100000" sheet="1" objects="1" scenario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rightToLeft="1" topLeftCell="A16" zoomScaleNormal="100" workbookViewId="0">
      <selection activeCell="H30" sqref="H30"/>
    </sheetView>
  </sheetViews>
  <sheetFormatPr defaultColWidth="8.6328125" defaultRowHeight="14.5" x14ac:dyDescent="0.35"/>
  <cols>
    <col min="1" max="1" width="26" style="7" customWidth="1"/>
    <col min="2" max="3" width="20" style="7" customWidth="1"/>
    <col min="4" max="4" width="14" style="7" customWidth="1"/>
    <col min="5" max="5" width="18" style="7" customWidth="1"/>
    <col min="6" max="16384" width="8.6328125" style="7"/>
  </cols>
  <sheetData>
    <row r="1" spans="1:5" ht="27.75" customHeight="1" x14ac:dyDescent="0.35">
      <c r="A1" s="6" t="s">
        <v>105</v>
      </c>
      <c r="B1" s="6"/>
      <c r="C1" s="6"/>
      <c r="D1" s="6"/>
      <c r="E1" s="6"/>
    </row>
    <row r="3" spans="1:5" ht="21.75" customHeight="1" x14ac:dyDescent="0.35">
      <c r="A3" s="29" t="s">
        <v>106</v>
      </c>
      <c r="B3" s="29"/>
      <c r="C3" s="29"/>
      <c r="D3" s="29"/>
      <c r="E3" s="29"/>
    </row>
    <row r="4" spans="1:5" ht="18" customHeight="1" x14ac:dyDescent="0.35">
      <c r="A4" s="15" t="s">
        <v>107</v>
      </c>
      <c r="B4" s="11">
        <v>492000</v>
      </c>
    </row>
    <row r="5" spans="1:5" ht="18" customHeight="1" x14ac:dyDescent="0.35">
      <c r="A5" s="15" t="s">
        <v>108</v>
      </c>
      <c r="B5" s="11">
        <v>0</v>
      </c>
    </row>
    <row r="6" spans="1:5" ht="18" customHeight="1" x14ac:dyDescent="0.35">
      <c r="A6" s="15" t="s">
        <v>109</v>
      </c>
      <c r="B6" s="49">
        <f>B4-B5</f>
        <v>492000</v>
      </c>
    </row>
    <row r="7" spans="1:5" ht="18" customHeight="1" x14ac:dyDescent="0.35">
      <c r="A7" s="15" t="s">
        <v>110</v>
      </c>
      <c r="B7" s="50">
        <f>IF(B4=0,0,B5/B4)</f>
        <v>0</v>
      </c>
    </row>
    <row r="8" spans="1:5" ht="18" customHeight="1" x14ac:dyDescent="0.35">
      <c r="A8" s="15" t="s">
        <v>111</v>
      </c>
      <c r="B8" s="11">
        <v>0</v>
      </c>
    </row>
    <row r="9" spans="1:5" ht="18" customHeight="1" x14ac:dyDescent="0.35">
      <c r="A9" s="15" t="s">
        <v>112</v>
      </c>
      <c r="B9" s="11">
        <v>0</v>
      </c>
    </row>
    <row r="11" spans="1:5" ht="21.75" customHeight="1" x14ac:dyDescent="0.35">
      <c r="A11" s="29" t="s">
        <v>113</v>
      </c>
      <c r="B11" s="29"/>
      <c r="C11" s="29"/>
      <c r="D11" s="29"/>
      <c r="E11" s="29"/>
    </row>
    <row r="12" spans="1:5" ht="19.5" customHeight="1" x14ac:dyDescent="0.35">
      <c r="A12" s="9" t="s">
        <v>96</v>
      </c>
      <c r="B12" s="9" t="s">
        <v>114</v>
      </c>
      <c r="C12" s="9" t="s">
        <v>115</v>
      </c>
      <c r="D12" s="9" t="s">
        <v>116</v>
      </c>
      <c r="E12" s="9" t="s">
        <v>103</v>
      </c>
    </row>
    <row r="13" spans="1:5" ht="15.75" customHeight="1" x14ac:dyDescent="0.35">
      <c r="A13" s="38" t="s">
        <v>117</v>
      </c>
      <c r="B13" s="11">
        <v>0</v>
      </c>
      <c r="C13" s="11">
        <v>0</v>
      </c>
      <c r="D13" s="51">
        <f t="shared" ref="D13:D24" si="0">IF($B$4=0,0,1-C13/$B$4)</f>
        <v>1</v>
      </c>
      <c r="E13" s="10"/>
    </row>
    <row r="14" spans="1:5" ht="15.75" customHeight="1" x14ac:dyDescent="0.35">
      <c r="A14" s="27" t="s">
        <v>118</v>
      </c>
      <c r="B14" s="11">
        <v>0</v>
      </c>
      <c r="C14" s="11">
        <v>0</v>
      </c>
      <c r="D14" s="51">
        <f t="shared" si="0"/>
        <v>1</v>
      </c>
      <c r="E14" s="10"/>
    </row>
    <row r="15" spans="1:5" ht="15.75" customHeight="1" x14ac:dyDescent="0.35">
      <c r="A15" s="38" t="s">
        <v>119</v>
      </c>
      <c r="B15" s="11">
        <v>0</v>
      </c>
      <c r="C15" s="11">
        <v>0</v>
      </c>
      <c r="D15" s="51">
        <f t="shared" si="0"/>
        <v>1</v>
      </c>
      <c r="E15" s="10"/>
    </row>
    <row r="16" spans="1:5" ht="15.75" customHeight="1" x14ac:dyDescent="0.35">
      <c r="A16" s="27" t="s">
        <v>120</v>
      </c>
      <c r="B16" s="11">
        <v>0</v>
      </c>
      <c r="C16" s="11">
        <v>0</v>
      </c>
      <c r="D16" s="51">
        <f t="shared" si="0"/>
        <v>1</v>
      </c>
      <c r="E16" s="10"/>
    </row>
    <row r="17" spans="1:5" ht="15.75" customHeight="1" x14ac:dyDescent="0.35">
      <c r="A17" s="38" t="s">
        <v>121</v>
      </c>
      <c r="B17" s="11">
        <v>0</v>
      </c>
      <c r="C17" s="11">
        <v>0</v>
      </c>
      <c r="D17" s="51">
        <f t="shared" si="0"/>
        <v>1</v>
      </c>
      <c r="E17" s="10"/>
    </row>
    <row r="18" spans="1:5" ht="15.75" customHeight="1" x14ac:dyDescent="0.35">
      <c r="A18" s="27" t="s">
        <v>122</v>
      </c>
      <c r="B18" s="11">
        <v>0</v>
      </c>
      <c r="C18" s="11">
        <v>0</v>
      </c>
      <c r="D18" s="51">
        <f t="shared" si="0"/>
        <v>1</v>
      </c>
      <c r="E18" s="10"/>
    </row>
    <row r="19" spans="1:5" ht="15.75" customHeight="1" x14ac:dyDescent="0.35">
      <c r="A19" s="38" t="s">
        <v>123</v>
      </c>
      <c r="B19" s="11">
        <v>0</v>
      </c>
      <c r="C19" s="11">
        <v>0</v>
      </c>
      <c r="D19" s="51">
        <f t="shared" si="0"/>
        <v>1</v>
      </c>
      <c r="E19" s="10"/>
    </row>
    <row r="20" spans="1:5" ht="15.75" customHeight="1" x14ac:dyDescent="0.35">
      <c r="A20" s="27" t="s">
        <v>124</v>
      </c>
      <c r="B20" s="11">
        <v>0</v>
      </c>
      <c r="C20" s="11">
        <v>0</v>
      </c>
      <c r="D20" s="51">
        <f t="shared" si="0"/>
        <v>1</v>
      </c>
      <c r="E20" s="10"/>
    </row>
    <row r="21" spans="1:5" ht="15.75" customHeight="1" x14ac:dyDescent="0.35">
      <c r="A21" s="38" t="s">
        <v>125</v>
      </c>
      <c r="B21" s="11">
        <v>0</v>
      </c>
      <c r="C21" s="11">
        <v>0</v>
      </c>
      <c r="D21" s="51">
        <f t="shared" si="0"/>
        <v>1</v>
      </c>
      <c r="E21" s="10"/>
    </row>
    <row r="22" spans="1:5" ht="15.75" customHeight="1" x14ac:dyDescent="0.35">
      <c r="A22" s="27" t="s">
        <v>126</v>
      </c>
      <c r="B22" s="11">
        <v>0</v>
      </c>
      <c r="C22" s="11">
        <v>0</v>
      </c>
      <c r="D22" s="51">
        <f t="shared" si="0"/>
        <v>1</v>
      </c>
      <c r="E22" s="10"/>
    </row>
    <row r="23" spans="1:5" ht="15.75" customHeight="1" x14ac:dyDescent="0.35">
      <c r="A23" s="38" t="s">
        <v>127</v>
      </c>
      <c r="B23" s="11">
        <v>0</v>
      </c>
      <c r="C23" s="11">
        <v>0</v>
      </c>
      <c r="D23" s="51">
        <f t="shared" si="0"/>
        <v>1</v>
      </c>
      <c r="E23" s="10"/>
    </row>
    <row r="24" spans="1:5" ht="15.75" customHeight="1" x14ac:dyDescent="0.35">
      <c r="A24" s="27" t="s">
        <v>128</v>
      </c>
      <c r="B24" s="11">
        <v>0</v>
      </c>
      <c r="C24" s="11">
        <v>0</v>
      </c>
      <c r="D24" s="51">
        <f t="shared" si="0"/>
        <v>1</v>
      </c>
      <c r="E24" s="10"/>
    </row>
    <row r="26" spans="1:5" ht="25.5" customHeight="1" x14ac:dyDescent="0.35">
      <c r="A26" s="48" t="s">
        <v>129</v>
      </c>
      <c r="B26" s="48"/>
      <c r="C26" s="48"/>
      <c r="D26" s="48"/>
      <c r="E26" s="48"/>
    </row>
    <row r="27" spans="1:5" x14ac:dyDescent="0.35">
      <c r="A27" s="48"/>
      <c r="B27" s="48"/>
      <c r="C27" s="48"/>
      <c r="D27" s="48"/>
      <c r="E27" s="48"/>
    </row>
    <row r="29" spans="1:5" x14ac:dyDescent="0.35">
      <c r="A29" s="16" t="s">
        <v>42</v>
      </c>
    </row>
    <row r="30" spans="1:5" ht="12.75" customHeight="1" x14ac:dyDescent="0.35">
      <c r="A30" s="17" t="s">
        <v>43</v>
      </c>
    </row>
    <row r="31" spans="1:5" ht="12.75" customHeight="1" x14ac:dyDescent="0.35">
      <c r="A31" s="18" t="s">
        <v>44</v>
      </c>
    </row>
    <row r="32" spans="1:5" ht="12.75" customHeight="1" x14ac:dyDescent="0.35">
      <c r="A32" s="19" t="s">
        <v>45</v>
      </c>
    </row>
    <row r="33" spans="1:1" ht="12.75" customHeight="1" x14ac:dyDescent="0.35">
      <c r="A33" s="20" t="s">
        <v>46</v>
      </c>
    </row>
  </sheetData>
  <sheetProtection algorithmName="SHA-512" hashValue="Dw4KbOOj73gX7Xs3MD87fkICIuzgxs7jWQ1PskIniaap81M6udrUXbSJDaglujsh0zii9BNfRVG7xzyCEOsTcg==" saltValue="k8rjdfPlq8Zjc6MC6R4jGA==" spinCount="100000" sheet="1" objects="1" scenarios="1"/>
  <mergeCells count="4">
    <mergeCell ref="A1:E1"/>
    <mergeCell ref="A3:E3"/>
    <mergeCell ref="A11:E11"/>
    <mergeCell ref="A26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6</vt:i4>
      </vt:variant>
    </vt:vector>
  </HeadingPairs>
  <TitlesOfParts>
    <vt:vector size="6" baseType="lpstr">
      <vt:lpstr>الغلاف</vt:lpstr>
      <vt:lpstr>جرد الديون</vt:lpstr>
      <vt:lpstr>استراتيجية الانهيار الجليدي</vt:lpstr>
      <vt:lpstr>استراتيجية كرة الثلج</vt:lpstr>
      <vt:lpstr>جدول السداد الشهري</vt:lpstr>
      <vt:lpstr>لوحة تقدم السداد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2026-06-10T01:20:20Z</dcterms:created>
  <dcterms:modified xsi:type="dcterms:W3CDTF">2026-06-11T18:17:26Z</dcterms:modified>
  <dc:language>en-US</dc:language>
</cp:coreProperties>
</file>